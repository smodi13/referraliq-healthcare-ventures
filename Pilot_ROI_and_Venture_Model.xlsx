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513fe3c2044325" /></Relationships>
</file>

<file path=xl/workbook.xml><?xml version="1.0" encoding="utf-8"?>
<x:workbook xmlns:x="http://schemas.openxmlformats.org/spreadsheetml/2006/main">
  <x:sheets>
    <x:sheet xmlns:r="http://schemas.openxmlformats.org/officeDocument/2006/relationships" name="START HERE" sheetId="1" r:id="R332ab2a01aed463f"/>
    <x:sheet xmlns:r="http://schemas.openxmlformats.org/officeDocument/2006/relationships" name="ASSUMPTIONS" sheetId="2" r:id="Rb385d91ecb91445a"/>
    <x:sheet xmlns:r="http://schemas.openxmlformats.org/officeDocument/2006/relationships" name="PILOT MONTHLY" sheetId="3" r:id="Rf2bbd2dc7177492f"/>
    <x:sheet xmlns:r="http://schemas.openxmlformats.org/officeDocument/2006/relationships" name="PILOT SUMMARY" sheetId="4" r:id="R8bd10470e8da4646"/>
    <x:sheet xmlns:r="http://schemas.openxmlformats.org/officeDocument/2006/relationships" name="SCALE ECONOMICS" sheetId="5" r:id="R3f8d580489f547e3"/>
    <x:sheet xmlns:r="http://schemas.openxmlformats.org/officeDocument/2006/relationships" name="CASH SENSITIVITY" sheetId="6" r:id="Rcaeba3eac4274e80"/>
    <x:sheet xmlns:r="http://schemas.openxmlformats.org/officeDocument/2006/relationships" name="VENTURE INPUTS" sheetId="7" r:id="R4aec7bae7b3e4e0c"/>
    <x:sheet xmlns:r="http://schemas.openxmlformats.org/officeDocument/2006/relationships" name="VENTURE RETURNS" sheetId="8" r:id="Rbff377fcf6f6489e"/>
    <x:sheet xmlns:r="http://schemas.openxmlformats.org/officeDocument/2006/relationships" name="EXIT SENSITIVITY" sheetId="9" r:id="Rdc73103a4bea423c"/>
    <x:sheet xmlns:r="http://schemas.openxmlformats.org/officeDocument/2006/relationships" name="MARKET FRAMEWORK" sheetId="10" r:id="R4141863f27fe48ef"/>
    <x:sheet xmlns:r="http://schemas.openxmlformats.org/officeDocument/2006/relationships" name="COMPETITIVE CHECK" sheetId="11" r:id="R85a8548d76724012"/>
    <x:sheet xmlns:r="http://schemas.openxmlformats.org/officeDocument/2006/relationships" name="DILIGENCE GATES" sheetId="12" r:id="R22db2c6f5f924d15"/>
    <x:sheet xmlns:r="http://schemas.openxmlformats.org/officeDocument/2006/relationships" name="SOURCE REGISTER" sheetId="13" r:id="R5384b3abbe3b4f11"/>
    <x:sheet xmlns:r="http://schemas.openxmlformats.org/officeDocument/2006/relationships" name="DATA DICTIONARY" sheetId="14" r:id="R4314214ed1b84c2c"/>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Red](#,##0);-"/>
    <x:numFmt numFmtId="201" formatCode="0.0%;[Red](0.0%);-"/>
    <x:numFmt numFmtId="202" formatCode="#,##0.0;[Red](#,##0.0);-"/>
    <x:numFmt numFmtId="203" formatCode="$#,##0;[Red]($#,##0);-"/>
    <x:numFmt numFmtId="204" formatCode="0.00&quot;x&quot;;[Red](0.00&quot;x&quot;);-"/>
    <x:numFmt numFmtId="205" formatCode="$#,##0.00;[Red]($#,##0.00);-"/>
    <x:numFmt numFmtId="206" formatCode="$0.0&quot;m&quot;;[Red]($0.0&quot;m&quot;);-"/>
  </x:numFmts>
  <x:fonts count="9">
    <x:font>
      <x:sz val="11"/>
      <x:name val="Carlito"/>
    </x:font>
    <x:font>
      <x:b/>
      <x:sz val="17"/>
      <x:color rgb="FFFFFFFF"/>
      <x:name val="Carlito"/>
    </x:font>
    <x:font>
      <x:b/>
      <x:sz val="10"/>
      <x:color rgb="FF087D8D"/>
      <x:name val="Carlito"/>
    </x:font>
    <x:font>
      <x:b/>
      <x:sz val="10"/>
      <x:color rgb="FFFFFFFF"/>
      <x:name val="Carlito"/>
    </x:font>
    <x:font>
      <x:b/>
      <x:sz val="11"/>
      <x:color rgb="FF087D8D"/>
      <x:name val="Carlito"/>
    </x:font>
    <x:font>
      <x:sz val="11"/>
      <x:color rgb="FF0000FF"/>
      <x:name val="Carlito"/>
    </x:font>
    <x:font>
      <x:sz val="11"/>
      <x:color rgb="FF008000"/>
      <x:name val="Carlito"/>
    </x:font>
    <x:font>
      <x:b/>
      <x:sz val="11"/>
      <x:color rgb="FF142638"/>
      <x:name val="Carlito"/>
    </x:font>
    <x:font>
      <x:b/>
      <x:sz val="11"/>
      <x:color rgb="FF0000FF"/>
      <x:name val="Carlito"/>
    </x:font>
  </x:fonts>
  <x:fills count="8">
    <x:fill>
      <x:patternFill patternType="none"/>
    </x:fill>
    <x:fill>
      <x:patternFill patternType="gray125"/>
    </x:fill>
    <x:fill>
      <x:patternFill patternType="solid">
        <x:fgColor rgb="FF0B2335"/>
      </x:patternFill>
    </x:fill>
    <x:fill>
      <x:patternFill patternType="solid">
        <x:fgColor rgb="FFE8F4F5"/>
      </x:patternFill>
    </x:fill>
    <x:fill>
      <x:patternFill patternType="solid">
        <x:fgColor rgb="FF152F42"/>
      </x:patternFill>
    </x:fill>
    <x:fill>
      <x:patternFill patternType="solid">
        <x:fgColor rgb="FFEBF2F9"/>
      </x:patternFill>
    </x:fill>
    <x:fill>
      <x:patternFill patternType="solid">
        <x:fgColor rgb="FFF2F6F9"/>
      </x:patternFill>
    </x:fill>
    <x:fill>
      <x:patternFill patternType="solid">
        <x:fgColor rgb="FFFFF0BF"/>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4"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4" fillId="3"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0" fontId="0" fillId="5" borderId="0" xfId="0" applyNumberFormat="1" applyFont="1" applyFill="1" applyBorder="1"/>
    <x:xf numFmtId="201" fontId="0" fillId="5" borderId="0" xfId="0" applyNumberFormat="1" applyFont="1" applyFill="1" applyBorder="1"/>
    <x:xf numFmtId="202" fontId="0" fillId="5" borderId="0" xfId="0" applyNumberFormat="1" applyFont="1" applyFill="1" applyBorder="1"/>
    <x:xf numFmtId="203" fontId="0" fillId="5" borderId="0" xfId="0" applyNumberFormat="1" applyFont="1" applyFill="1" applyBorder="1"/>
    <x:xf numFmtId="200" fontId="5" fillId="5" borderId="0" xfId="0" applyNumberFormat="1" applyFont="1" applyFill="1" applyBorder="1"/>
    <x:xf numFmtId="201" fontId="5" fillId="5" borderId="0" xfId="0" applyNumberFormat="1" applyFont="1" applyFill="1" applyBorder="1"/>
    <x:xf numFmtId="202" fontId="5" fillId="5" borderId="0" xfId="0" applyNumberFormat="1" applyFont="1" applyFill="1" applyBorder="1"/>
    <x:xf numFmtId="203" fontId="5" fillId="5" borderId="0" xfId="0" applyNumberFormat="1" applyFont="1" applyFill="1" applyBorder="1"/>
    <x:xf numFmtId="200" fontId="0" fillId="5" borderId="1" xfId="0" applyNumberFormat="1" applyFont="1" applyFill="1" applyBorder="1"/>
    <x:xf numFmtId="201" fontId="0" fillId="5" borderId="1" xfId="0" applyNumberFormat="1" applyFont="1" applyFill="1" applyBorder="1"/>
    <x:xf numFmtId="202" fontId="0" fillId="5" borderId="1" xfId="0" applyNumberFormat="1" applyFont="1" applyFill="1" applyBorder="1"/>
    <x:xf numFmtId="203" fontId="0" fillId="5" borderId="1" xfId="0" applyNumberFormat="1" applyFont="1" applyFill="1" applyBorder="1"/>
    <x:xf numFmtId="200" fontId="5" fillId="5" borderId="1" xfId="0" applyNumberFormat="1" applyFont="1" applyFill="1" applyBorder="1"/>
    <x:xf numFmtId="201" fontId="5" fillId="5" borderId="1" xfId="0" applyNumberFormat="1" applyFont="1" applyFill="1" applyBorder="1"/>
    <x:xf numFmtId="202" fontId="5" fillId="5" borderId="1" xfId="0" applyNumberFormat="1" applyFont="1" applyFill="1" applyBorder="1"/>
    <x:xf numFmtId="203" fontId="5" fillId="5"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202" fontId="6" fillId="0" borderId="0" xfId="0" applyNumberFormat="1" applyFont="1" applyFill="1" applyBorder="1"/>
    <x:xf numFmtId="202" fontId="6" fillId="0" borderId="1" xfId="0" applyNumberFormat="1" applyFont="1" applyFill="1" applyBorder="1"/>
    <x:xf numFmtId="203" fontId="6" fillId="0" borderId="0" xfId="0" applyNumberFormat="1" applyFont="1" applyFill="1" applyBorder="1"/>
    <x:xf numFmtId="203" fontId="6" fillId="0" borderId="1" xfId="0" applyNumberFormat="1" applyFont="1" applyFill="1" applyBorder="1"/>
    <x:xf numFmtId="203" fontId="6" fillId="6" borderId="0" xfId="0" applyNumberFormat="1" applyFont="1" applyFill="1" applyBorder="1"/>
    <x:xf numFmtId="203" fontId="0" fillId="6" borderId="0" xfId="0" applyNumberFormat="1" applyFont="1" applyFill="1" applyBorder="1"/>
    <x:xf numFmtId="203" fontId="6" fillId="6" borderId="1" xfId="0" applyNumberFormat="1" applyFont="1" applyFill="1" applyBorder="1"/>
    <x:xf numFmtId="203" fontId="0" fillId="6" borderId="1" xfId="0" applyNumberFormat="1" applyFont="1" applyFill="1" applyBorder="1"/>
    <x:xf numFmtId="200" fontId="6" fillId="0" borderId="0" xfId="0" applyNumberFormat="1" applyFont="1" applyFill="1" applyBorder="1"/>
    <x:xf numFmtId="200" fontId="6"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203" fontId="6" fillId="3" borderId="0" xfId="0" applyNumberFormat="1" applyFont="1" applyFill="1" applyBorder="1"/>
    <x:xf numFmtId="0" fontId="7" fillId="3" borderId="0" xfId="0" applyNumberFormat="1" applyFont="1" applyFill="1" applyBorder="1"/>
    <x:xf numFmtId="203" fontId="7" fillId="3" borderId="0" xfId="0" applyNumberFormat="1" applyFont="1" applyFill="1" applyBorder="1"/>
    <x:xf numFmtId="203" fontId="6" fillId="3" borderId="1" xfId="0" applyNumberFormat="1" applyFont="1" applyFill="1" applyBorder="1"/>
    <x:xf numFmtId="0" fontId="7" fillId="3" borderId="1" xfId="0" applyNumberFormat="1" applyFont="1" applyFill="1" applyBorder="1"/>
    <x:xf numFmtId="203" fontId="7" fillId="3" borderId="1" xfId="0" applyNumberFormat="1" applyFont="1" applyFill="1" applyBorder="1"/>
    <x:xf numFmtId="203" fontId="0" fillId="3" borderId="0" xfId="0" applyNumberFormat="1" applyFont="1" applyFill="1" applyBorder="1"/>
    <x:xf numFmtId="203" fontId="0" fillId="3" borderId="1" xfId="0" applyNumberFormat="1" applyFont="1" applyFill="1" applyBorder="1"/>
    <x:xf numFmtId="201" fontId="6" fillId="0" borderId="0" xfId="0" applyNumberFormat="1" applyFont="1" applyFill="1" applyBorder="1"/>
    <x:xf numFmtId="201" fontId="6" fillId="0" borderId="1"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x:xf numFmtId="0" fontId="0" fillId="7" borderId="1" xfId="0" applyNumberFormat="1" applyFont="1" applyFill="1" applyBorder="1" applyAlignment="1">
      <x:alignment wrapText="1"/>
    </x:xf>
    <x:xf numFmtId="203" fontId="3" fillId="4" borderId="0" xfId="0" applyNumberFormat="1" applyFont="1" applyFill="1" applyBorder="1" applyAlignment="1">
      <x:alignment vertical="center" wrapText="1"/>
    </x:xf>
    <x:xf numFmtId="203" fontId="3" fillId="4" borderId="1" xfId="0" applyNumberFormat="1" applyFont="1" applyFill="1" applyBorder="1" applyAlignment="1">
      <x:alignment vertical="center" wrapText="1"/>
    </x:xf>
    <x:xf numFmtId="201" fontId="5" fillId="0" borderId="0" xfId="0" applyNumberFormat="1" applyFont="1" applyFill="1" applyBorder="1"/>
    <x:xf numFmtId="201" fontId="5" fillId="0"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6" fontId="0" fillId="5" borderId="0" xfId="0" applyNumberFormat="1" applyFont="1" applyFill="1" applyBorder="1"/>
    <x:xf numFmtId="204" fontId="0" fillId="5" borderId="0" xfId="0" applyNumberFormat="1" applyFont="1" applyFill="1" applyBorder="1"/>
    <x:xf numFmtId="206" fontId="5" fillId="5" borderId="0" xfId="0" applyNumberFormat="1" applyFont="1" applyFill="1" applyBorder="1"/>
    <x:xf numFmtId="204" fontId="5" fillId="5" borderId="0" xfId="0" applyNumberFormat="1" applyFont="1" applyFill="1" applyBorder="1"/>
    <x:xf numFmtId="206" fontId="0" fillId="5" borderId="1" xfId="0" applyNumberFormat="1" applyFont="1" applyFill="1" applyBorder="1"/>
    <x:xf numFmtId="204" fontId="0" fillId="5" borderId="1" xfId="0" applyNumberFormat="1" applyFont="1" applyFill="1" applyBorder="1"/>
    <x:xf numFmtId="206" fontId="5" fillId="5" borderId="1" xfId="0" applyNumberFormat="1" applyFont="1" applyFill="1" applyBorder="1"/>
    <x:xf numFmtId="204" fontId="5" fillId="5" borderId="1" xfId="0" applyNumberFormat="1" applyFont="1" applyFill="1" applyBorder="1"/>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206" fontId="6" fillId="0" borderId="0" xfId="0" applyNumberFormat="1" applyFont="1" applyFill="1" applyBorder="1"/>
    <x:xf numFmtId="206" fontId="6" fillId="0" borderId="1" xfId="0" applyNumberFormat="1" applyFont="1" applyFill="1" applyBorder="1"/>
    <x:xf numFmtId="204" fontId="6" fillId="0" borderId="0" xfId="0" applyNumberFormat="1" applyFont="1" applyFill="1" applyBorder="1"/>
    <x:xf numFmtId="204" fontId="6" fillId="0" borderId="1" xfId="0" applyNumberFormat="1" applyFont="1" applyFill="1" applyBorder="1"/>
    <x:xf numFmtId="206" fontId="0" fillId="3" borderId="0" xfId="0" applyNumberFormat="1" applyFont="1" applyFill="1" applyBorder="1"/>
    <x:xf numFmtId="206" fontId="7" fillId="3" borderId="0" xfId="0" applyNumberFormat="1" applyFont="1" applyFill="1" applyBorder="1"/>
    <x:xf numFmtId="206" fontId="0" fillId="3" borderId="1" xfId="0" applyNumberFormat="1" applyFont="1" applyFill="1" applyBorder="1"/>
    <x:xf numFmtId="206" fontId="7" fillId="3" borderId="1" xfId="0" applyNumberFormat="1" applyFont="1" applyFill="1" applyBorder="1"/>
    <x:xf numFmtId="201" fontId="0" fillId="3" borderId="0" xfId="0" applyNumberFormat="1" applyFont="1" applyFill="1" applyBorder="1"/>
    <x:xf numFmtId="201" fontId="7" fillId="3" borderId="0" xfId="0" applyNumberFormat="1" applyFont="1" applyFill="1" applyBorder="1"/>
    <x:xf numFmtId="201" fontId="0" fillId="3" borderId="1" xfId="0" applyNumberFormat="1" applyFont="1" applyFill="1" applyBorder="1"/>
    <x:xf numFmtId="201" fontId="7" fillId="3" borderId="1" xfId="0" applyNumberFormat="1" applyFont="1" applyFill="1" applyBorder="1"/>
    <x:xf numFmtId="204" fontId="0" fillId="3" borderId="0" xfId="0" applyNumberFormat="1" applyFont="1" applyFill="1" applyBorder="1"/>
    <x:xf numFmtId="204" fontId="7" fillId="3" borderId="0" xfId="0" applyNumberFormat="1" applyFont="1" applyFill="1" applyBorder="1"/>
    <x:xf numFmtId="204" fontId="0" fillId="3" borderId="1" xfId="0" applyNumberFormat="1" applyFont="1" applyFill="1" applyBorder="1"/>
    <x:xf numFmtId="204" fontId="7" fillId="3" borderId="1" xfId="0" applyNumberFormat="1" applyFont="1" applyFill="1" applyBorder="1"/>
    <x:xf numFmtId="204" fontId="3" fillId="4" borderId="0" xfId="0" applyNumberFormat="1" applyFont="1" applyFill="1" applyBorder="1" applyAlignment="1">
      <x:alignment vertical="center" wrapText="1"/>
    </x:xf>
    <x:xf numFmtId="204" fontId="3" fillId="4" borderId="1" xfId="0" applyNumberFormat="1" applyFont="1" applyFill="1" applyBorder="1" applyAlignment="1">
      <x:alignment vertical="center" wrapText="1"/>
    </x:xf>
    <x:xf numFmtId="201" fontId="0" fillId="7" borderId="0" xfId="0" applyNumberFormat="1" applyFont="1" applyFill="1" applyBorder="1"/>
    <x:xf numFmtId="203" fontId="0" fillId="7" borderId="0" xfId="0" applyNumberFormat="1" applyFont="1" applyFill="1" applyBorder="1"/>
    <x:xf numFmtId="201" fontId="0" fillId="7" borderId="1" xfId="0" applyNumberFormat="1" applyFont="1" applyFill="1" applyBorder="1"/>
    <x:xf numFmtId="203" fontId="0" fillId="7" borderId="1" xfId="0" applyNumberFormat="1" applyFont="1" applyFill="1" applyBorder="1"/>
    <x:xf numFmtId="0" fontId="8" fillId="7" borderId="0" xfId="0" applyNumberFormat="1" applyFont="1" applyFill="1" applyBorder="1" applyAlignment="1">
      <x:alignment wrapText="1"/>
    </x:xf>
    <x:xf numFmtId="0" fontId="8" fillId="7"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7459c14de743a4" /><Relationship Type="http://schemas.openxmlformats.org/officeDocument/2006/relationships/theme" Target="/xl/theme/theme1.xml" Id="Re79dce5cd7a840c8" /><Relationship Type="http://schemas.openxmlformats.org/officeDocument/2006/relationships/sharedStrings" Target="/xl/sharedStrings.xml" Id="R865e81ce9f224daa" /><Relationship Type="http://schemas.openxmlformats.org/officeDocument/2006/relationships/worksheet" Target="/xl/worksheets/sheet1.xml" Id="R332ab2a01aed463f" /><Relationship Type="http://schemas.openxmlformats.org/officeDocument/2006/relationships/worksheet" Target="/xl/worksheets/sheet2.xml" Id="Rb385d91ecb91445a" /><Relationship Type="http://schemas.openxmlformats.org/officeDocument/2006/relationships/worksheet" Target="/xl/worksheets/sheet3.xml" Id="Rf2bbd2dc7177492f" /><Relationship Type="http://schemas.openxmlformats.org/officeDocument/2006/relationships/worksheet" Target="/xl/worksheets/sheet4.xml" Id="R8bd10470e8da4646" /><Relationship Type="http://schemas.openxmlformats.org/officeDocument/2006/relationships/worksheet" Target="/xl/worksheets/sheet5.xml" Id="R3f8d580489f547e3" /><Relationship Type="http://schemas.openxmlformats.org/officeDocument/2006/relationships/worksheet" Target="/xl/worksheets/sheet6.xml" Id="Rcaeba3eac4274e80" /><Relationship Type="http://schemas.openxmlformats.org/officeDocument/2006/relationships/worksheet" Target="/xl/worksheets/sheet7.xml" Id="R4aec7bae7b3e4e0c" /><Relationship Type="http://schemas.openxmlformats.org/officeDocument/2006/relationships/worksheet" Target="/xl/worksheets/sheet8.xml" Id="Rbff377fcf6f6489e" /><Relationship Type="http://schemas.openxmlformats.org/officeDocument/2006/relationships/worksheet" Target="/xl/worksheets/sheet9.xml" Id="Rdc73103a4bea423c" /><Relationship Type="http://schemas.openxmlformats.org/officeDocument/2006/relationships/worksheet" Target="/xl/worksheets/sheet10.xml" Id="R4141863f27fe48ef" /><Relationship Type="http://schemas.openxmlformats.org/officeDocument/2006/relationships/worksheet" Target="/xl/worksheets/sheet11.xml" Id="R85a8548d76724012" /><Relationship Type="http://schemas.openxmlformats.org/officeDocument/2006/relationships/worksheet" Target="/xl/worksheets/sheet12.xml" Id="R22db2c6f5f924d15" /><Relationship Type="http://schemas.openxmlformats.org/officeDocument/2006/relationships/worksheet" Target="/xl/worksheets/sheet13.xml" Id="R5384b3abbe3b4f11" /><Relationship Type="http://schemas.openxmlformats.org/officeDocument/2006/relationships/worksheet" Target="/xl/worksheets/sheet14.xml" Id="R4314214ed1b84c2c" /></Relationships>
</file>

<file path=xl/drawings/_rels/drawing1.xml.rels>&#65279;<?xml version="1.0" encoding="utf-8"?><Relationships xmlns="http://schemas.openxmlformats.org/package/2006/relationships"><Relationship Type="http://schemas.openxmlformats.org/officeDocument/2006/relationships/chart" Target="/xl/drawings/charts/chart1.xml" Id="Re52717c833c5435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Cash economics: recurring cost vs. net value</a:t>
            </a:r>
          </a:p>
        </c:rich>
      </c:tx>
      <c:overlay val="0"/>
    </c:title>
    <c:plotArea>
      <c:barChart>
        <c:barDir val="col"/>
        <c:grouping val="clustered"/>
        <c:varyColors val="0"/>
        <c:ser>
          <c:idx val="0"/>
          <c:order val="0"/>
          <c:tx>
            <c:v>Series 1</c:v>
          </c:tx>
          <c:cat>
            <c:strRef>
              <c:f>'SCALE ECONOMICS'!$A$18:$A$19</c:f>
              <c:strCache>
                <c:ptCount val="0"/>
              </c:strCache>
            </c:strRef>
          </c:cat>
          <c:val>
            <c:numRef>
              <c:f>'SCALE ECONOMICS'!$B$18:$B$19</c:f>
              <c:numCache>
                <c:formatCode>$#,##0;[Red]($#,##0);-</c:formatCode>
                <c:ptCount val="0"/>
              </c:numCache>
            </c:numRef>
          </c:val>
        </c:ser>
        <c:ser>
          <c:idx val="1"/>
          <c:order val="1"/>
          <c:tx>
            <c:v>Series 2</c:v>
          </c:tx>
          <c:cat>
            <c:strRef>
              <c:f>'SCALE ECONOMICS'!$A$18:$A$19</c:f>
              <c:strCache>
                <c:ptCount val="0"/>
              </c:strCache>
            </c:strRef>
          </c:cat>
          <c:val>
            <c:numRef>
              <c:f>'SCALE ECONOMICS'!$C$18:$C$19</c:f>
              <c:numCache>
                <c:formatCode>$#,##0;[Red]($#,##0);-</c:formatCode>
                <c:ptCount val="0"/>
              </c:numCache>
            </c:numRef>
          </c:val>
        </c:ser>
        <c:ser>
          <c:idx val="2"/>
          <c:order val="2"/>
          <c:tx>
            <c:v>Series 3</c:v>
          </c:tx>
          <c:cat>
            <c:strRef>
              <c:f>'SCALE ECONOMICS'!$A$18:$A$19</c:f>
              <c:strCache>
                <c:ptCount val="0"/>
              </c:strCache>
            </c:strRef>
          </c:cat>
          <c:val>
            <c:numRef>
              <c:f>'SCALE ECONOMICS'!$D$18:$D$19</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13</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2717c833c5435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5ef3ea18e8754285"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9" hidden="0" customWidth="1"/>
    <x:col min="2" max="2" width="23" hidden="0" customWidth="1"/>
    <x:col min="3" max="3" width="23" hidden="0" customWidth="1"/>
    <x:col min="4" max="4" width="23" hidden="0" customWidth="1"/>
    <x:col min="5" max="5" width="17" hidden="0" customWidth="1"/>
    <x:col min="6" max="6" width="17" hidden="0" customWidth="1"/>
    <x:col min="7" max="7" width="17" hidden="0" customWidth="1"/>
    <x:col min="8" max="8" width="17" hidden="0" customWidth="1"/>
  </x:cols>
  <x:sheetData>
    <x:row r="1" ht="42" customHeight="1">
      <x:c r="A1" s="4" t="str">
        <x:v>REFERRALIQ | PHASE 2 MODEL</x:v>
      </x:c>
      <x:c r="B1" s="4"/>
      <x:c r="C1" s="4"/>
      <x:c r="D1" s="4"/>
      <x:c r="E1" s="4"/>
      <x:c r="F1" s="4"/>
      <x:c r="G1" s="4"/>
      <x:c r="H1" s="4"/>
    </x:row>
    <x:row r="3" ht="37" customHeight="1">
      <x:c r="A3" s="11" t="str">
        <x:v>Independent candidate case study | 10 Oct 2026 | All model amounts are hypothetical, not company guidance</x:v>
      </x:c>
      <x:c r="B3" s="11"/>
      <x:c r="C3" s="11"/>
      <x:c r="D3" s="11"/>
      <x:c r="E3" s="11"/>
      <x:c r="F3" s="11"/>
      <x:c r="G3" s="11"/>
      <x:c r="H3" s="11"/>
    </x:row>
    <x:row r="5" ht="26" customHeight="1">
      <x:c r="A5" s="17" t="str">
        <x:v>DECISION: diligence first, no equity commitment</x:v>
      </x:c>
      <x:c r="B5" s="17"/>
      <x:c r="C5" s="17"/>
      <x:c r="D5" s="17"/>
      <x:c r="E5" s="17"/>
      <x:c r="F5" s="17"/>
      <x:c r="G5" s="17"/>
      <x:c r="H5" s="17"/>
    </x:row>
    <x:row r="7" ht="25" customHeight="1">
      <x:c r="A7" s="20" t="str">
        <x:v>1. Separate the hospital operating deployment decision from the venture equity investment decision.</x:v>
      </x:c>
      <x:c r="B7" s="20"/>
      <x:c r="C7" s="20"/>
      <x:c r="D7" s="20"/>
      <x:c r="E7" s="20"/>
      <x:c r="F7" s="20"/>
      <x:c r="G7" s="20"/>
      <x:c r="H7" s="20"/>
    </x:row>
    <x:row r="9" ht="25" customHeight="1">
      <x:c r="A9" s="20" t="str">
        <x:v>2. Base-case 90-day pilot is a controlled measurement exercise, not a profit center.</x:v>
      </x:c>
      <x:c r="B9" s="20"/>
      <x:c r="C9" s="20"/>
      <x:c r="D9" s="20"/>
      <x:c r="E9" s="20"/>
      <x:c r="F9" s="20"/>
      <x:c r="G9" s="20"/>
      <x:c r="H9" s="20"/>
    </x:row>
    <x:row r="11" ht="25" customHeight="1">
      <x:c r="A11" s="20" t="str">
        <x:v>3. Scaled run-rate economics must be positive on realizable cash benefit, not staff capacity alone.</x:v>
      </x:c>
      <x:c r="B11" s="20"/>
      <x:c r="C11" s="20"/>
      <x:c r="D11" s="20"/>
      <x:c r="E11" s="20"/>
      <x:c r="F11" s="20"/>
      <x:c r="G11" s="20"/>
      <x:c r="H11" s="20"/>
    </x:row>
    <x:row r="13" ht="34" customHeight="1">
      <x:c r="A13" s="20" t="str">
        <x:v>4. All scenario financial metrics are constructed assumptions, including hypothetical Silna valuations and ARR.</x:v>
      </x:c>
      <x:c r="B13" s="20"/>
      <x:c r="C13" s="20"/>
      <x:c r="D13" s="20"/>
      <x:c r="E13" s="20"/>
      <x:c r="F13" s="20"/>
      <x:c r="G13" s="20"/>
      <x:c r="H13" s="20"/>
    </x:row>
    <x:row r="15" ht="34" customHeight="1">
      <x:c r="A15" s="20" t="str">
        <x:v>5. Silna is a priority diligence candidate. Tennr is a product benchmark. Notable is an incumbent-relationship question.</x:v>
      </x:c>
      <x:c r="B15" s="20"/>
      <x:c r="C15" s="20"/>
      <x:c r="D15" s="20"/>
      <x:c r="E15" s="20"/>
      <x:c r="F15" s="20"/>
      <x:c r="G15" s="20"/>
      <x:c r="H15" s="20"/>
    </x:row>
    <x:row r="17" ht="25" customHeight="1">
      <x:c r="A17" s="20" t="str">
        <x:v>6. No data in this file were obtained from internal Intermountain systems or private company financials.</x:v>
      </x:c>
      <x:c r="B17" s="20"/>
      <x:c r="C17" s="20"/>
      <x:c r="D17" s="20"/>
      <x:c r="E17" s="20"/>
      <x:c r="F17" s="20"/>
      <x:c r="G17" s="20"/>
      <x:c r="H17" s="20"/>
    </x:row>
    <x:row r="19" ht="28" customHeight="1">
      <x:c r="A19" s="23" t="str">
        <x:v>WHAT EACH TAB DOES</x:v>
      </x:c>
      <x:c r="B19" s="23"/>
      <x:c r="C19" s="23"/>
      <x:c r="D19" s="23"/>
      <x:c r="E19" s="23"/>
      <x:c r="F19" s="23"/>
      <x:c r="G19" s="23"/>
      <x:c r="H19" s="23"/>
    </x:row>
    <x:row r="20" ht="25" customHeight="1">
      <x:c r="A20" s="20" t="str">
        <x:v>ASSUMPTIONS: editable case inputs, including source and definition fields.</x:v>
      </x:c>
      <x:c r="B20" s="20"/>
      <x:c r="C20" s="20"/>
      <x:c r="D20" s="20"/>
      <x:c r="E20" s="20"/>
      <x:c r="F20" s="20"/>
      <x:c r="G20" s="20"/>
      <x:c r="H20" s="20"/>
    </x:row>
    <x:row r="21" ht="25" customHeight="1">
      <x:c r="A21" s="20" t="str">
        <x:v>PILOT MONTHLY / SUMMARY: 90-day three-month ramp, costs, net cash and capacity.</x:v>
      </x:c>
      <x:c r="B21" s="20"/>
      <x:c r="C21" s="20"/>
      <x:c r="D21" s="20"/>
      <x:c r="E21" s="20"/>
      <x:c r="F21" s="20"/>
      <x:c r="G21" s="20"/>
      <x:c r="H21" s="20"/>
    </x:row>
    <x:row r="22" ht="25" customHeight="1">
      <x:c r="A22" s="20" t="str">
        <x:v>SCALE ECONOMICS: annualized run-rate, first full-scale year, payback and break-even.</x:v>
      </x:c>
      <x:c r="B22" s="20"/>
      <x:c r="C22" s="20"/>
      <x:c r="D22" s="20"/>
      <x:c r="E22" s="20"/>
      <x:c r="F22" s="20"/>
      <x:c r="G22" s="20"/>
      <x:c r="H22" s="20"/>
    </x:row>
    <x:row r="23" ht="25" customHeight="1">
      <x:c r="A23" s="20" t="str">
        <x:v>CASH SENSITIVITY: base-case net recurring dollars by vendor fee and cash-realization rate.</x:v>
      </x:c>
      <x:c r="B23" s="20"/>
      <x:c r="C23" s="20"/>
      <x:c r="D23" s="20"/>
      <x:c r="E23" s="20"/>
      <x:c r="F23" s="20"/>
      <x:c r="G23" s="20"/>
      <x:c r="H23" s="20"/>
    </x:row>
    <x:row r="24" ht="25" customHeight="1">
      <x:c r="A24" s="20" t="str">
        <x:v>VENTURE INPUTS / RETURNS: hypothetical ownership, dilution, MOIC and IRR.</x:v>
      </x:c>
      <x:c r="B24" s="20"/>
      <x:c r="C24" s="20"/>
      <x:c r="D24" s="20"/>
      <x:c r="E24" s="20"/>
      <x:c r="F24" s="20"/>
      <x:c r="G24" s="20"/>
      <x:c r="H24" s="20"/>
    </x:row>
    <x:row r="25" ht="25" customHeight="1">
      <x:c r="A25" s="20" t="str">
        <x:v>EXIT SENSITIVITY: illustrative exit ARR and revenue-multiple conditions.</x:v>
      </x:c>
      <x:c r="B25" s="20"/>
      <x:c r="C25" s="20"/>
      <x:c r="D25" s="20"/>
      <x:c r="E25" s="20"/>
      <x:c r="F25" s="20"/>
      <x:c r="G25" s="20"/>
      <x:c r="H25" s="20"/>
    </x:row>
    <x:row r="26" ht="25" customHeight="1">
      <x:c r="A26" s="20" t="str">
        <x:v>MARKET FRAMEWORK: an explicit bottom-up methodology, not a fabricated TAM.</x:v>
      </x:c>
      <x:c r="B26" s="20"/>
      <x:c r="C26" s="20"/>
      <x:c r="D26" s="20"/>
      <x:c r="E26" s="20"/>
      <x:c r="F26" s="20"/>
      <x:c r="G26" s="20"/>
      <x:c r="H26" s="20"/>
    </x:row>
    <x:row r="27" ht="25" customHeight="1">
      <x:c r="A27" s="20" t="str">
        <x:v>COMPETITIVE CHECK / DILIGENCE GATES: investment alternative and deal-killer checks.</x:v>
      </x:c>
      <x:c r="B27" s="20"/>
      <x:c r="C27" s="20"/>
      <x:c r="D27" s="20"/>
      <x:c r="E27" s="20"/>
      <x:c r="F27" s="20"/>
      <x:c r="G27" s="20"/>
      <x:c r="H27" s="20"/>
    </x:row>
    <x:row r="28" ht="25" customHeight="1">
      <x:c r="A28" s="20" t="str">
        <x:v>SOURCE REGISTER / DATA DICTIONARY: sourced facts and exact meaning of inputs.</x:v>
      </x:c>
      <x:c r="B28" s="20"/>
      <x:c r="C28" s="20"/>
      <x:c r="D28" s="20"/>
      <x:c r="E28" s="20"/>
      <x:c r="F28" s="20"/>
      <x:c r="G28" s="20"/>
      <x:c r="H28" s="20"/>
    </x:row>
    <x:row r="30" ht="28" customHeight="1">
      <x:c r="A30" s="23" t="str">
        <x:v>MODEL CONVENTIONS</x:v>
      </x:c>
      <x:c r="B30" s="23"/>
      <x:c r="C30" s="23"/>
      <x:c r="D30" s="23"/>
      <x:c r="E30" s="23"/>
      <x:c r="F30" s="23"/>
      <x:c r="G30" s="23"/>
      <x:c r="H30" s="23"/>
    </x:row>
    <x:row r="31" ht="34" customHeight="1">
      <x:c r="A31" s="20" t="str">
        <x:v>Blue cells: editable assumptions. Green: cross-tab formulas. Dark text: calculations. All negative values in red parentheses.</x:v>
      </x:c>
      <x:c r="B31" s="20"/>
      <x:c r="C31" s="20"/>
      <x:c r="D31" s="20"/>
      <x:c r="E31" s="20"/>
      <x:c r="F31" s="20"/>
      <x:c r="G31" s="20"/>
      <x:c r="H31" s="20"/>
    </x:row>
    <x:row r="32" ht="34" customHeight="1">
      <x:c r="A32" s="20" t="str">
        <x:v>Do not add standalone pilot setup and new-scale setup without checking whether a real vendor contract credits pilot fees.</x:v>
      </x:c>
      <x:c r="B32" s="20"/>
      <x:c r="C32" s="20"/>
      <x:c r="D32" s="20"/>
      <x:c r="E32" s="20"/>
      <x:c r="F32" s="20"/>
      <x:c r="G32" s="20"/>
      <x:c r="H32" s="20"/>
    </x:row>
    <x:row r="33" ht="25" customHeight="1">
      <x:c r="A33" s="20" t="str">
        <x:v>FTE capacity is a reporting equivalent based on 2,080 annual hours, never presumed headcount savings.</x:v>
      </x:c>
      <x:c r="B33" s="20"/>
      <x:c r="C33" s="20"/>
      <x:c r="D33" s="20"/>
      <x:c r="E33" s="20"/>
      <x:c r="F33" s="20"/>
      <x:c r="G33" s="20"/>
      <x:c r="H33" s="20"/>
    </x:row>
    <x:row r="34" ht="34" customHeight="1">
      <x:c r="A34" s="20" t="str">
        <x:v>Holding periods and exit values are stylized and do not reflect liquidation preference, debt, dilution from options or fees.</x:v>
      </x:c>
      <x:c r="B34" s="20"/>
      <x:c r="C34" s="20"/>
      <x:c r="D34" s="20"/>
      <x:c r="E34" s="20"/>
      <x:c r="F34" s="20"/>
      <x:c r="G34" s="20"/>
      <x:c r="H34" s="20"/>
    </x:row>
    <x:row r="36" ht="28" customHeight="1">
      <x:c r="A36" s="23" t="str">
        <x:v>PUBLIC FINANCING FACTS</x:v>
      </x:c>
      <x:c r="B36" s="23"/>
      <x:c r="C36" s="23"/>
      <x:c r="D36" s="23"/>
      <x:c r="E36" s="23"/>
      <x:c r="F36" s="23"/>
      <x:c r="G36" s="23"/>
      <x:c r="H36" s="23"/>
    </x:row>
    <x:row r="37" ht="25" customHeight="1">
      <x:c r="A37" s="20" t="str">
        <x:v>Silna March 2025: $27m combined seed and Series A (source S10).</x:v>
      </x:c>
      <x:c r="B37" s="20"/>
      <x:c r="C37" s="20"/>
      <x:c r="D37" s="20"/>
      <x:c r="E37" s="20"/>
      <x:c r="F37" s="20"/>
      <x:c r="G37" s="20"/>
      <x:c r="H37" s="20"/>
    </x:row>
    <x:row r="38" ht="25" customHeight="1">
      <x:c r="A38" s="20" t="str">
        <x:v>Tennr June 2025: $101m Series C and $605m reported valuation (sources S08 and S09).</x:v>
      </x:c>
      <x:c r="B38" s="20"/>
      <x:c r="C38" s="20"/>
      <x:c r="D38" s="20"/>
      <x:c r="E38" s="20"/>
      <x:c r="F38" s="20"/>
      <x:c r="G38" s="20"/>
      <x:c r="H38" s="20"/>
    </x:row>
    <x:row r="39" ht="25" customHeight="1">
      <x:c r="A39" s="20" t="str">
        <x:v>These historical financing events do not establish October 2026 deal terms or a live round.</x:v>
      </x:c>
      <x:c r="B39" s="20"/>
      <x:c r="C39" s="20"/>
      <x:c r="D39" s="20"/>
      <x:c r="E39" s="20"/>
      <x:c r="F39" s="20"/>
      <x:c r="G39" s="20"/>
      <x:c r="H39" s="20"/>
    </x:row>
    <x:row r="42" ht="26" customHeight="1">
      <x:c r="A42" s="17" t="str">
        <x:v>QUICK MODEL OUTPUTS | CHANGE BLUE INPUTS TO RECOMPUTE</x:v>
      </x:c>
      <x:c r="B42" s="17"/>
      <x:c r="C42" s="17"/>
      <x:c r="D42" s="17"/>
      <x:c r="E42" s="17"/>
      <x:c r="F42" s="17"/>
      <x:c r="G42" s="17"/>
      <x:c r="H42" s="17"/>
    </x:row>
    <x:row r="44" ht="30" customHeight="1">
      <x:c r="A44" s="27" t="str">
        <x:v>Metric</x:v>
      </x:c>
      <x:c r="B44" s="27" t="str">
        <x:v>Downside</x:v>
      </x:c>
      <x:c r="C44" s="27" t="str">
        <x:v>Base</x:v>
      </x:c>
      <x:c r="D44" s="27" t="str">
        <x:v>Upside</x:v>
      </x:c>
    </x:row>
    <x:row r="45" ht="25" customHeight="1">
      <x:c r="A45" t="str">
        <x:v>Pilot net cash</x:v>
      </x:c>
      <x:c r="B45" s="58" t="n">
        <x:f>'PILOT SUMMARY'!B20</x:f>
        <x:v>-66635.52</x:v>
      </x:c>
      <x:c r="C45" s="58" t="n">
        <x:f>'PILOT SUMMARY'!C20</x:f>
        <x:v>-39834</x:v>
      </x:c>
      <x:c r="D45" s="58" t="n">
        <x:f>'PILOT SUMMARY'!D20</x:f>
        <x:v>-31610</x:v>
      </x:c>
    </x:row>
    <x:row r="46" ht="25" customHeight="1">
      <x:c r="A46" t="str">
        <x:v>Run-rate net cash</x:v>
      </x:c>
      <x:c r="B46" s="58" t="n">
        <x:f>'SCALE ECONOMICS'!B19</x:f>
        <x:v>-150384</x:v>
      </x:c>
      <x:c r="C46" s="58" t="n">
        <x:f>'SCALE ECONOMICS'!C19</x:f>
        <x:v>25776</x:v>
      </x:c>
      <x:c r="D46" s="58" t="n">
        <x:f>'SCALE ECONOMICS'!D19</x:f>
        <x:v>347400</x:v>
      </x:c>
    </x:row>
    <x:row r="47" ht="25" customHeight="1">
      <x:c r="A47" t="str">
        <x:v>First scaled year net cash</x:v>
      </x:c>
      <x:c r="B47" s="58" t="n">
        <x:f>'SCALE ECONOMICS'!B27</x:f>
        <x:v>-196950.4</x:v>
      </x:c>
      <x:c r="C47" s="58" t="n">
        <x:f>'SCALE ECONOMICS'!C27</x:f>
        <x:v>-31268</x:v>
      </x:c>
      <x:c r="D47" s="58" t="n">
        <x:f>'SCALE ECONOMICS'!D27</x:f>
        <x:v>249500</x:v>
      </x:c>
    </x:row>
    <x:row r="48" ht="25" customHeight="1">
      <x:c r="A48" t="str">
        <x:v>Hypothetical venture MOIC</x:v>
      </x:c>
      <x:c r="B48" s="102" t="n">
        <x:f>'VENTURE RETURNS'!B22</x:f>
        <x:v>0.3214285714285714</x:v>
      </x:c>
      <x:c r="C48" s="102" t="n">
        <x:f>'VENTURE RETURNS'!C22</x:f>
        <x:v>2.971428571428572</x:v>
      </x:c>
      <x:c r="D48" s="102" t="n">
        <x:f>'VENTURE RETURNS'!D22</x:f>
        <x:v>13.500000000000002</x:v>
      </x:c>
    </x:row>
    <x:row r="49" ht="25" customHeight="1">
      <x:c r="A49" t="str">
        <x:v>Hypothetical gross IRR</x:v>
      </x:c>
      <x:c r="B49" s="78" t="n">
        <x:f>'VENTURE RETURNS'!B23</x:f>
        <x:v>-0.17234867812922494</x:v>
      </x:c>
      <x:c r="C49" s="78" t="n">
        <x:f>'VENTURE RETURNS'!C23</x:f>
        <x:v>0.1990230972348428</x:v>
      </x:c>
      <x:c r="D49" s="78" t="n">
        <x:f>'VENTURE RETURNS'!D23</x:f>
        <x:v>0.5430818442170522</x:v>
      </x:c>
    </x:row>
  </x:sheetData>
  <x:mergeCells>
    <x:mergeCell ref="A1:H1"/>
    <x:mergeCell ref="A3:H3"/>
    <x:mergeCell ref="A5:H5"/>
    <x:mergeCell ref="A7:H7"/>
    <x:mergeCell ref="A9:H9"/>
    <x:mergeCell ref="A11:H11"/>
    <x:mergeCell ref="A13:H13"/>
    <x:mergeCell ref="A15:H15"/>
    <x:mergeCell ref="A17:H17"/>
    <x:mergeCell ref="A19:H19"/>
    <x:mergeCell ref="A20:H20"/>
    <x:mergeCell ref="A21:H21"/>
    <x:mergeCell ref="A22:H22"/>
    <x:mergeCell ref="A23:H23"/>
    <x:mergeCell ref="A24:H24"/>
    <x:mergeCell ref="A25:H25"/>
    <x:mergeCell ref="A26:H26"/>
    <x:mergeCell ref="A27:H27"/>
    <x:mergeCell ref="A28:H28"/>
    <x:mergeCell ref="A30:H30"/>
    <x:mergeCell ref="A31:H31"/>
    <x:mergeCell ref="A32:H32"/>
    <x:mergeCell ref="A33:H33"/>
    <x:mergeCell ref="A34:H34"/>
    <x:mergeCell ref="A36:H36"/>
    <x:mergeCell ref="A37:H37"/>
    <x:mergeCell ref="A38:H38"/>
    <x:mergeCell ref="A39:H39"/>
    <x:mergeCell ref="A42:H42"/>
  </x:mergeCells>
  <x:pageMargins left="0.7" right="0.7" top="0.75" bottom="0.75" header="0.3" footer="0.3"/>
</x:worksheet>
</file>

<file path=xl/worksheets/sheet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9" hidden="0" customWidth="1"/>
    <x:col min="2" max="2" width="16" hidden="0" customWidth="1"/>
    <x:col min="3" max="3" width="16" hidden="0" customWidth="1"/>
    <x:col min="4" max="4" width="16" hidden="0" customWidth="1"/>
    <x:col min="5" max="5" width="16" hidden="0" customWidth="1"/>
    <x:col min="6" max="6" width="23" hidden="0" customWidth="1"/>
    <x:col min="7" max="7" width="24" hidden="0" customWidth="1"/>
    <x:col min="8" max="8" width="70" hidden="0" customWidth="1"/>
  </x:cols>
  <x:sheetData>
    <x:row r="1" ht="42" customHeight="1">
      <x:c r="A1" s="4" t="str">
        <x:v>OPERATING MODEL | SCENARIO INPUTS</x:v>
      </x:c>
      <x:c r="B1" s="4"/>
      <x:c r="C1" s="4"/>
      <x:c r="D1" s="4"/>
      <x:c r="E1" s="4"/>
      <x:c r="F1" s="4"/>
      <x:c r="G1" s="4"/>
      <x:c r="H1" s="4"/>
    </x:row>
    <x:row r="3" ht="37" customHeight="1">
      <x:c r="A3" s="11" t="str">
        <x:v>Blue numbers are all illustrative; these are not Intermountain volumes, prices or staffing records. Case labels are not probability weights.</x:v>
      </x:c>
      <x:c r="B3" s="11"/>
      <x:c r="C3" s="11"/>
      <x:c r="D3" s="11"/>
      <x:c r="E3" s="11"/>
      <x:c r="F3" s="11"/>
      <x:c r="G3" s="11"/>
      <x:c r="H3" s="11"/>
    </x:row>
    <x:row r="8" ht="30" customHeight="1">
      <x:c r="A8" s="27" t="str">
        <x:v>Assumption</x:v>
      </x:c>
      <x:c r="B8" s="27" t="str">
        <x:v>Units</x:v>
      </x:c>
      <x:c r="C8" s="27" t="str">
        <x:v>Downside</x:v>
      </x:c>
      <x:c r="D8" s="27" t="str">
        <x:v>Base</x:v>
      </x:c>
      <x:c r="E8" s="27" t="str">
        <x:v>Upside</x:v>
      </x:c>
      <x:c r="F8" s="27" t="str">
        <x:v>Classification</x:v>
      </x:c>
      <x:c r="G8" s="27" t="str">
        <x:v>Evidence anchor</x:v>
      </x:c>
      <x:c r="H8" s="27" t="str">
        <x:v>How to interpret</x:v>
      </x:c>
    </x:row>
    <x:row r="9" ht="35" customHeight="1">
      <x:c r="A9" t="str">
        <x:v>Pilot monthly cases</x:v>
      </x:c>
      <x:c r="B9" t="str">
        <x:v>cases/month</x:v>
      </x:c>
      <x:c r="C9" s="42" t="n">
        <x:v>1200</x:v>
      </x:c>
      <x:c r="D9" s="42" t="n">
        <x:v>2000</x:v>
      </x:c>
      <x:c r="E9" s="42" t="n">
        <x:v>3000</x:v>
      </x:c>
      <x:c r="F9" s="20" t="str">
        <x:v>Illustrative assumption</x:v>
      </x:c>
      <x:c r="G9" s="20" t="str">
        <x:v>Unknown</x:v>
      </x:c>
      <x:c r="H9" s="20" t="str">
        <x:v>Monthly eligible workflow pool before filtering, for 90-day test</x:v>
      </x:c>
    </x:row>
    <x:row r="10" ht="35" customHeight="1">
      <x:c r="A10" t="str">
        <x:v>Scale monthly cases</x:v>
      </x:c>
      <x:c r="B10" t="str">
        <x:v>cases/month</x:v>
      </x:c>
      <x:c r="C10" s="42" t="n">
        <x:v>9000</x:v>
      </x:c>
      <x:c r="D10" s="42" t="n">
        <x:v>12000</x:v>
      </x:c>
      <x:c r="E10" s="42" t="n">
        <x:v>15000</x:v>
      </x:c>
      <x:c r="F10" s="20" t="str">
        <x:v>Illustrative assumption</x:v>
      </x:c>
      <x:c r="G10" s="20" t="str">
        <x:v>Unknown</x:v>
      </x:c>
      <x:c r="H10" s="20" t="str">
        <x:v>Potential scaled deployment volume, separate from pilot</x:v>
      </x:c>
    </x:row>
    <x:row r="11" ht="35" customHeight="1">
      <x:c r="A11" t="str">
        <x:v>Eligible share</x:v>
      </x:c>
      <x:c r="B11" t="str">
        <x:v>share</x:v>
      </x:c>
      <x:c r="C11" s="43" t="n">
        <x:v>0.6</x:v>
      </x:c>
      <x:c r="D11" s="43" t="n">
        <x:v>0.7</x:v>
      </x:c>
      <x:c r="E11" s="43" t="n">
        <x:v>0.8</x:v>
      </x:c>
      <x:c r="F11" s="20" t="str">
        <x:v>Illustrative assumption</x:v>
      </x:c>
      <x:c r="G11" s="20" t="str">
        <x:v>Unknown</x:v>
      </x:c>
      <x:c r="H11" s="20" t="str">
        <x:v>Relevant requests eligible for workflow automation</x:v>
      </x:c>
    </x:row>
    <x:row r="12" ht="35" customHeight="1">
      <x:c r="A12" t="str">
        <x:v>Completion rate</x:v>
      </x:c>
      <x:c r="B12" t="str">
        <x:v>share</x:v>
      </x:c>
      <x:c r="C12" s="43" t="n">
        <x:v>0.4</x:v>
      </x:c>
      <x:c r="D12" s="43" t="n">
        <x:v>0.6</x:v>
      </x:c>
      <x:c r="E12" s="43" t="n">
        <x:v>0.75</x:v>
      </x:c>
      <x:c r="F12" s="20" t="str">
        <x:v>Illustrative assumption</x:v>
      </x:c>
      <x:c r="G12" s="20" t="str">
        <x:v>Unknown</x:v>
      </x:c>
      <x:c r="H12" s="20" t="str">
        <x:v>Successfully automated share of eligible requests at full adoption</x:v>
      </x:c>
    </x:row>
    <x:row r="13" ht="35" customHeight="1">
      <x:c r="A13" t="str">
        <x:v>Net minutes saved</x:v>
      </x:c>
      <x:c r="B13" t="str">
        <x:v>minutes/case</x:v>
      </x:c>
      <x:c r="C13" s="44" t="n">
        <x:v>4</x:v>
      </x:c>
      <x:c r="D13" s="44" t="n">
        <x:v>7</x:v>
      </x:c>
      <x:c r="E13" s="44" t="n">
        <x:v>10</x:v>
      </x:c>
      <x:c r="F13" s="20" t="str">
        <x:v>Illustrative assumption</x:v>
      </x:c>
      <x:c r="G13" s="20" t="str">
        <x:v>Unknown</x:v>
      </x:c>
      <x:c r="H13" s="20" t="str">
        <x:v>Net manual time eliminated after human review and rework</x:v>
      </x:c>
    </x:row>
    <x:row r="14" ht="35" customHeight="1">
      <x:c r="A14" t="str">
        <x:v>Loaded hourly cost</x:v>
      </x:c>
      <x:c r="B14" t="str">
        <x:v>USD/hour</x:v>
      </x:c>
      <x:c r="C14" s="45" t="n">
        <x:v>38</x:v>
      </x:c>
      <x:c r="D14" s="45" t="n">
        <x:v>42</x:v>
      </x:c>
      <x:c r="E14" s="45" t="n">
        <x:v>45</x:v>
      </x:c>
      <x:c r="F14" s="20" t="str">
        <x:v>Illustrative assumption</x:v>
      </x:c>
      <x:c r="G14" s="20" t="str">
        <x:v>Unknown</x:v>
      </x:c>
      <x:c r="H14" s="20" t="str">
        <x:v>Fully loaded labor-value proxy, not payroll cash saved</x:v>
      </x:c>
    </x:row>
    <x:row r="15" ht="35" customHeight="1">
      <x:c r="A15" t="str">
        <x:v>Cash realization</x:v>
      </x:c>
      <x:c r="B15" t="str">
        <x:v>share</x:v>
      </x:c>
      <x:c r="C15" s="43" t="n">
        <x:v>0.25</x:v>
      </x:c>
      <x:c r="D15" s="43" t="n">
        <x:v>0.5</x:v>
      </x:c>
      <x:c r="E15" s="43" t="n">
        <x:v>0.6</x:v>
      </x:c>
      <x:c r="F15" s="20" t="str">
        <x:v>Illustrative assumption</x:v>
      </x:c>
      <x:c r="G15" s="20" t="str">
        <x:v>Unknown</x:v>
      </x:c>
      <x:c r="H15" s="20" t="str">
        <x:v>Share of capacity value converted into independently identified cash savings</x:v>
      </x:c>
    </x:row>
    <x:row r="16" ht="35" customHeight="1">
      <x:c r="A16" t="str">
        <x:v>Pilot vendor monthly</x:v>
      </x:c>
      <x:c r="B16" t="str">
        <x:v>USD/month</x:v>
      </x:c>
      <x:c r="C16" s="45" t="n">
        <x:v>4500</x:v>
      </x:c>
      <x:c r="D16" s="45" t="n">
        <x:v>3000</x:v>
      </x:c>
      <x:c r="E16" s="45" t="n">
        <x:v>3500</x:v>
      </x:c>
      <x:c r="F16" s="20" t="str">
        <x:v>Illustrative assumption</x:v>
      </x:c>
      <x:c r="G16" s="20" t="str">
        <x:v>Unknown</x:v>
      </x:c>
      <x:c r="H16" s="20" t="str">
        <x:v>Vendor fee during evaluation, hypothetical</x:v>
      </x:c>
    </x:row>
    <x:row r="17" ht="35" customHeight="1">
      <x:c r="A17" t="str">
        <x:v>Scale vendor monthly</x:v>
      </x:c>
      <x:c r="B17" t="str">
        <x:v>USD/month</x:v>
      </x:c>
      <x:c r="C17" s="45" t="n">
        <x:v>10500</x:v>
      </x:c>
      <x:c r="D17" s="45" t="n">
        <x:v>8000</x:v>
      </x:c>
      <x:c r="E17" s="45" t="n">
        <x:v>9000</x:v>
      </x:c>
      <x:c r="F17" s="20" t="str">
        <x:v>Illustrative assumption</x:v>
      </x:c>
      <x:c r="G17" s="20" t="str">
        <x:v>Unknown</x:v>
      </x:c>
      <x:c r="H17" s="20" t="str">
        <x:v>Vendor charge at illustrative scaled deployment</x:v>
      </x:c>
    </x:row>
    <x:row r="18" ht="35" customHeight="1">
      <x:c r="A18" t="str">
        <x:v>Scale support monthly</x:v>
      </x:c>
      <x:c r="B18" t="str">
        <x:v>USD/month</x:v>
      </x:c>
      <x:c r="C18" s="45" t="n">
        <x:v>2300</x:v>
      </x:c>
      <x:c r="D18" s="45" t="n">
        <x:v>1500</x:v>
      </x:c>
      <x:c r="E18" s="45" t="n">
        <x:v>1700</x:v>
      </x:c>
      <x:c r="F18" s="20" t="str">
        <x:v>Illustrative assumption</x:v>
      </x:c>
      <x:c r="G18" s="20" t="str">
        <x:v>Unknown</x:v>
      </x:c>
      <x:c r="H18" s="20" t="str">
        <x:v>Incremental IT, operations, and process support at scale</x:v>
      </x:c>
    </x:row>
    <x:row r="19" ht="35" customHeight="1">
      <x:c r="A19" t="str">
        <x:v>Scale audit monthly</x:v>
      </x:c>
      <x:c r="B19" t="str">
        <x:v>USD/month</x:v>
      </x:c>
      <x:c r="C19" s="45" t="n">
        <x:v>1100</x:v>
      </x:c>
      <x:c r="D19" s="45" t="n">
        <x:v>700</x:v>
      </x:c>
      <x:c r="E19" s="45" t="n">
        <x:v>850</x:v>
      </x:c>
      <x:c r="F19" s="20" t="str">
        <x:v>Illustrative assumption</x:v>
      </x:c>
      <x:c r="G19" s="20" t="str">
        <x:v>Unknown</x:v>
      </x:c>
      <x:c r="H19" s="20" t="str">
        <x:v>Incremental compliance, quality review, and exception audit at scale</x:v>
      </x:c>
    </x:row>
    <x:row r="20" ht="35" customHeight="1">
      <x:c r="A20" t="str">
        <x:v>Pilot support monthly</x:v>
      </x:c>
      <x:c r="B20" t="str">
        <x:v>USD/month</x:v>
      </x:c>
      <x:c r="C20" s="45" t="n">
        <x:v>1900</x:v>
      </x:c>
      <x:c r="D20" s="45" t="n">
        <x:v>1100</x:v>
      </x:c>
      <x:c r="E20" s="45" t="n">
        <x:v>1200</x:v>
      </x:c>
      <x:c r="F20" s="20" t="str">
        <x:v>Illustrative assumption</x:v>
      </x:c>
      <x:c r="G20" s="20" t="str">
        <x:v>Unknown</x:v>
      </x:c>
      <x:c r="H20" s="20" t="str">
        <x:v>Pilot IT and operations support</x:v>
      </x:c>
    </x:row>
    <x:row r="21" ht="35" customHeight="1">
      <x:c r="A21" t="str">
        <x:v>Pilot audit monthly</x:v>
      </x:c>
      <x:c r="B21" t="str">
        <x:v>USD/month</x:v>
      </x:c>
      <x:c r="C21" s="45" t="n">
        <x:v>900</x:v>
      </x:c>
      <x:c r="D21" s="45" t="n">
        <x:v>550</x:v>
      </x:c>
      <x:c r="E21" s="45" t="n">
        <x:v>650</x:v>
      </x:c>
      <x:c r="F21" s="20" t="str">
        <x:v>Illustrative assumption</x:v>
      </x:c>
      <x:c r="G21" s="20" t="str">
        <x:v>Unknown</x:v>
      </x:c>
      <x:c r="H21" s="20" t="str">
        <x:v>Pilot compliance and case-review burden</x:v>
      </x:c>
    </x:row>
    <x:row r="22" ht="35" customHeight="1">
      <x:c r="A22" t="str">
        <x:v>Pilot setup</x:v>
      </x:c>
      <x:c r="B22" t="str">
        <x:v>USD once</x:v>
      </x:c>
      <x:c r="C22" s="45" t="n">
        <x:v>45000</x:v>
      </x:c>
      <x:c r="D22" s="45" t="n">
        <x:v>30000</x:v>
      </x:c>
      <x:c r="E22" s="45" t="n">
        <x:v>35000</x:v>
      </x:c>
      <x:c r="F22" s="20" t="str">
        <x:v>Illustrative assumption</x:v>
      </x:c>
      <x:c r="G22" s="20" t="str">
        <x:v>Unknown</x:v>
      </x:c>
      <x:c r="H22" s="20" t="str">
        <x:v>One-time security, training, configuration and pilot integration</x:v>
      </x:c>
    </x:row>
    <x:row r="23" ht="35" customHeight="1">
      <x:c r="A23" t="str">
        <x:v>Scale rollout setup</x:v>
      </x:c>
      <x:c r="B23" t="str">
        <x:v>USD once</x:v>
      </x:c>
      <x:c r="C23" s="45" t="n">
        <x:v>40000</x:v>
      </x:c>
      <x:c r="D23" s="45" t="n">
        <x:v>20000</x:v>
      </x:c>
      <x:c r="E23" s="45" t="n">
        <x:v>25000</x:v>
      </x:c>
      <x:c r="F23" s="20" t="str">
        <x:v>Illustrative assumption</x:v>
      </x:c>
      <x:c r="G23" s="20" t="str">
        <x:v>Unknown</x:v>
      </x:c>
      <x:c r="H23" s="20" t="str">
        <x:v>Incremental rollout cost beyond the pilot</x:v>
      </x:c>
    </x:row>
    <x:row r="24" ht="35" customHeight="1">
      <x:c r="A24" t="str">
        <x:v>First year ramp</x:v>
      </x:c>
      <x:c r="B24" t="str">
        <x:v>share</x:v>
      </x:c>
      <x:c r="C24" s="43" t="n">
        <x:v>0.6</x:v>
      </x:c>
      <x:c r="D24" s="43" t="n">
        <x:v>0.75</x:v>
      </x:c>
      <x:c r="E24" s="43" t="n">
        <x:v>0.85</x:v>
      </x:c>
      <x:c r="F24" s="20" t="str">
        <x:v>Illustrative assumption</x:v>
      </x:c>
      <x:c r="G24" s="20" t="str">
        <x:v>Unknown</x:v>
      </x:c>
      <x:c r="H24" s="20" t="str">
        <x:v>Average first scaled year capacity attainment vs steady state</x:v>
      </x:c>
    </x:row>
    <x:row r="25" ht="35" customHeight="1">
      <x:c r="A25" t="str">
        <x:v>Ramp m1</x:v>
      </x:c>
      <x:c r="B25" t="str">
        <x:v>share</x:v>
      </x:c>
      <x:c r="C25" s="43" t="n">
        <x:v>0.3</x:v>
      </x:c>
      <x:c r="D25" s="43" t="n">
        <x:v>0.4</x:v>
      </x:c>
      <x:c r="E25" s="43" t="n">
        <x:v>0.55</x:v>
      </x:c>
      <x:c r="F25" s="20" t="str">
        <x:v>Illustrative assumption</x:v>
      </x:c>
      <x:c r="G25" s="20" t="str">
        <x:v>Unknown</x:v>
      </x:c>
      <x:c r="H25" s="20" t="str">
        <x:v>Month 1 attainment of eventual automated-case rate</x:v>
      </x:c>
    </x:row>
    <x:row r="26" ht="35" customHeight="1">
      <x:c r="A26" t="str">
        <x:v>Ramp m2</x:v>
      </x:c>
      <x:c r="B26" t="str">
        <x:v>share</x:v>
      </x:c>
      <x:c r="C26" s="43" t="n">
        <x:v>0.5</x:v>
      </x:c>
      <x:c r="D26" s="43" t="n">
        <x:v>0.7</x:v>
      </x:c>
      <x:c r="E26" s="43" t="n">
        <x:v>0.85</x:v>
      </x:c>
      <x:c r="F26" s="20" t="str">
        <x:v>Illustrative assumption</x:v>
      </x:c>
      <x:c r="G26" s="20" t="str">
        <x:v>Unknown</x:v>
      </x:c>
      <x:c r="H26" s="20" t="str">
        <x:v>Month 2 attainment of eventual automated-case rate</x:v>
      </x:c>
    </x:row>
    <x:row r="27" ht="35" customHeight="1">
      <x:c r="A27" t="str">
        <x:v>Ramp m3</x:v>
      </x:c>
      <x:c r="B27" t="str">
        <x:v>share</x:v>
      </x:c>
      <x:c r="C27" s="43" t="n">
        <x:v>0.65</x:v>
      </x:c>
      <x:c r="D27" s="43" t="n">
        <x:v>0.9</x:v>
      </x:c>
      <x:c r="E27" s="43" t="n">
        <x:v>1</x:v>
      </x:c>
      <x:c r="F27" s="20" t="str">
        <x:v>Illustrative assumption</x:v>
      </x:c>
      <x:c r="G27" s="20" t="str">
        <x:v>Unknown</x:v>
      </x:c>
      <x:c r="H27" s="20" t="str">
        <x:v>Month 3 attainment of eventual automated-case rate</x:v>
      </x:c>
    </x:row>
    <x:row r="30" ht="26" customHeight="1">
      <x:c r="A30" s="17" t="str">
        <x:v>PROVENANCE RULE: replace scenario inputs only after obtaining a dated and attributable source</x:v>
      </x:c>
      <x:c r="B30" s="17"/>
      <x:c r="C30" s="17"/>
      <x:c r="D30" s="17"/>
      <x:c r="E30" s="17"/>
      <x:c r="F30" s="17"/>
      <x:c r="G30" s="17"/>
      <x:c r="H30" s="17"/>
    </x:row>
    <x:row r="31">
      <x:c r="A31" s="20" t="str">
        <x:v>Example: replace the site volume with an approved aggregate baseline, and document the denominator and date. Do not use patient-level information or claim internally verified values without access.</x:v>
      </x:c>
      <x:c r="B31" s="20"/>
      <x:c r="C31" s="20"/>
      <x:c r="D31" s="20"/>
      <x:c r="E31" s="20"/>
      <x:c r="F31" s="20"/>
      <x:c r="G31" s="20"/>
      <x:c r="H31" s="20"/>
    </x:row>
    <x:row r="32">
      <x:c r="A32" s="20"/>
      <x:c r="B32" s="20"/>
      <x:c r="C32" s="20"/>
      <x:c r="D32" s="20"/>
      <x:c r="E32" s="20"/>
      <x:c r="F32" s="20"/>
      <x:c r="G32" s="20"/>
      <x:c r="H32" s="20"/>
    </x:row>
  </x:sheetData>
  <x:mergeCells>
    <x:mergeCell ref="A1:H1"/>
    <x:mergeCell ref="A3:H3"/>
    <x:mergeCell ref="A30:H30"/>
    <x:mergeCell ref="A31:H32"/>
  </x:mergeCells>
  <x:pageMargins left="0.7" right="0.7" top="0.75" bottom="0.75" header="0.3" footer="0.3"/>
</x:worksheet>
</file>

<file path=xl/worksheets/sheet3.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18" hidden="0" customWidth="1"/>
    <x:col min="2" max="2" width="12"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s>
  <x:sheetData>
    <x:row r="1" ht="42" customHeight="1">
      <x:c r="A1" s="4" t="str">
        <x:v>90-DAY CONTROLLED PILOT | MONTH DETAIL</x:v>
      </x:c>
      <x:c r="B1" s="4"/>
      <x:c r="C1" s="4"/>
      <x:c r="D1" s="4"/>
      <x:c r="E1" s="4"/>
      <x:c r="F1" s="4"/>
      <x:c r="G1" s="4"/>
      <x:c r="H1" s="4"/>
      <x:c r="I1" s="4"/>
      <x:c r="J1" s="4"/>
      <x:c r="K1" s="4"/>
      <x:c r="L1" s="4"/>
      <x:c r="M1" s="4"/>
    </x:row>
    <x:row r="3" ht="37" customHeight="1">
      <x:c r="A3" s="11" t="str">
        <x:v>Each month applies an adoption ramp multiplier to the scenario full automation rate. Month 1 includes pilot setup cost.</x:v>
      </x:c>
      <x:c r="B3" s="11"/>
      <x:c r="C3" s="11"/>
      <x:c r="D3" s="11"/>
      <x:c r="E3" s="11"/>
      <x:c r="F3" s="11"/>
      <x:c r="G3" s="11"/>
      <x:c r="H3" s="11"/>
      <x:c r="I3" s="11"/>
      <x:c r="J3" s="11"/>
      <x:c r="K3" s="11"/>
      <x:c r="L3" s="11"/>
      <x:c r="M3" s="11"/>
    </x:row>
    <x:row r="8" ht="30" customHeight="1">
      <x:c r="A8" s="27" t="str">
        <x:v>Scenario</x:v>
      </x:c>
      <x:c r="B8" s="27" t="str">
        <x:v>Month</x:v>
      </x:c>
      <x:c r="C8" s="27" t="str">
        <x:v>Pilot cases</x:v>
      </x:c>
      <x:c r="D8" s="27" t="str">
        <x:v>Eligible</x:v>
      </x:c>
      <x:c r="E8" s="27" t="str">
        <x:v>Automated</x:v>
      </x:c>
      <x:c r="F8" s="27" t="str">
        <x:v>Net hours saved</x:v>
      </x:c>
      <x:c r="G8" s="27" t="str">
        <x:v>Capacity value ($)</x:v>
      </x:c>
      <x:c r="H8" s="27" t="str">
        <x:v>Realizable cash ($)</x:v>
      </x:c>
      <x:c r="I8" s="27" t="str">
        <x:v>Vendor ($)</x:v>
      </x:c>
      <x:c r="J8" s="27" t="str">
        <x:v>Support ($)</x:v>
      </x:c>
      <x:c r="K8" s="27" t="str">
        <x:v>Audit ($)</x:v>
      </x:c>
      <x:c r="L8" s="27" t="str">
        <x:v>Setup ($)</x:v>
      </x:c>
      <x:c r="M8" s="27" t="str">
        <x:v>Net cash ($)</x:v>
      </x:c>
    </x:row>
    <x:row r="9">
      <x:c r="A9" t="str">
        <x:v>Downside</x:v>
      </x:c>
      <x:c r="B9" t="n">
        <x:v>1</x:v>
      </x:c>
      <x:c r="C9" s="56" t="n">
        <x:f>ASSUMPTIONS!C9</x:f>
        <x:v>1200</x:v>
      </x:c>
      <x:c r="D9" s="34" t="n">
        <x:f>C9*ASSUMPTIONS!C11</x:f>
        <x:v>720</x:v>
      </x:c>
      <x:c r="E9" s="34" t="n">
        <x:f>D9*ASSUMPTIONS!C12*ASSUMPTIONS!C25</x:f>
        <x:v>86.39999999999999</x:v>
      </x:c>
      <x:c r="F9" s="34" t="n">
        <x:f>E9*ASSUMPTIONS!C13/60</x:f>
        <x:v>5.76</x:v>
      </x:c>
      <x:c r="G9" s="36" t="n">
        <x:f>F9*ASSUMPTIONS!C14</x:f>
        <x:v>218.88</x:v>
      </x:c>
      <x:c r="H9" s="36" t="n">
        <x:f>G9*ASSUMPTIONS!C15</x:f>
        <x:v>54.72</x:v>
      </x:c>
      <x:c r="I9" s="60" t="n">
        <x:f>ASSUMPTIONS!C16</x:f>
        <x:v>4500</x:v>
      </x:c>
      <x:c r="J9" s="60" t="n">
        <x:f>ASSUMPTIONS!C20</x:f>
        <x:v>1900</x:v>
      </x:c>
      <x:c r="K9" s="60" t="n">
        <x:f>ASSUMPTIONS!C21</x:f>
        <x:v>900</x:v>
      </x:c>
      <x:c r="L9" s="60" t="n">
        <x:f>ASSUMPTIONS!C22</x:f>
        <x:v>45000</x:v>
      </x:c>
      <x:c r="M9" s="36" t="n">
        <x:f>H9-SUM(I9:L9)</x:f>
        <x:v>-52245.28</x:v>
      </x:c>
    </x:row>
    <x:row r="10">
      <x:c r="A10" t="str">
        <x:v>Downside</x:v>
      </x:c>
      <x:c r="B10" t="n">
        <x:v>2</x:v>
      </x:c>
      <x:c r="C10" s="56" t="n">
        <x:f>ASSUMPTIONS!C9</x:f>
        <x:v>1200</x:v>
      </x:c>
      <x:c r="D10" s="34" t="n">
        <x:f>C10*ASSUMPTIONS!C11</x:f>
        <x:v>720</x:v>
      </x:c>
      <x:c r="E10" s="34" t="n">
        <x:f>D10*ASSUMPTIONS!C12*ASSUMPTIONS!C26</x:f>
        <x:v>144</x:v>
      </x:c>
      <x:c r="F10" s="34" t="n">
        <x:f>E10*ASSUMPTIONS!C13/60</x:f>
        <x:v>9.6</x:v>
      </x:c>
      <x:c r="G10" s="36" t="n">
        <x:f>F10*ASSUMPTIONS!C14</x:f>
        <x:v>364.8</x:v>
      </x:c>
      <x:c r="H10" s="36" t="n">
        <x:f>G10*ASSUMPTIONS!C15</x:f>
        <x:v>91.2</x:v>
      </x:c>
      <x:c r="I10" s="60" t="n">
        <x:f>ASSUMPTIONS!C16</x:f>
        <x:v>4500</x:v>
      </x:c>
      <x:c r="J10" s="60" t="n">
        <x:f>ASSUMPTIONS!C20</x:f>
        <x:v>1900</x:v>
      </x:c>
      <x:c r="K10" s="60" t="n">
        <x:f>ASSUMPTIONS!C21</x:f>
        <x:v>900</x:v>
      </x:c>
      <x:c r="L10" s="61" t="n">
        <x:f>0</x:f>
        <x:v>0</x:v>
      </x:c>
      <x:c r="M10" s="36" t="n">
        <x:f>H10-SUM(I10:L10)</x:f>
        <x:v>-7208.8</x:v>
      </x:c>
    </x:row>
    <x:row r="11">
      <x:c r="A11" t="str">
        <x:v>Downside</x:v>
      </x:c>
      <x:c r="B11" t="n">
        <x:v>3</x:v>
      </x:c>
      <x:c r="C11" s="56" t="n">
        <x:f>ASSUMPTIONS!C9</x:f>
        <x:v>1200</x:v>
      </x:c>
      <x:c r="D11" s="34" t="n">
        <x:f>C11*ASSUMPTIONS!C11</x:f>
        <x:v>720</x:v>
      </x:c>
      <x:c r="E11" s="34" t="n">
        <x:f>D11*ASSUMPTIONS!C12*ASSUMPTIONS!C27</x:f>
        <x:v>187.20000000000002</x:v>
      </x:c>
      <x:c r="F11" s="34" t="n">
        <x:f>E11*ASSUMPTIONS!C13/60</x:f>
        <x:v>12.48</x:v>
      </x:c>
      <x:c r="G11" s="36" t="n">
        <x:f>F11*ASSUMPTIONS!C14</x:f>
        <x:v>474.24</x:v>
      </x:c>
      <x:c r="H11" s="36" t="n">
        <x:f>G11*ASSUMPTIONS!C15</x:f>
        <x:v>118.56</x:v>
      </x:c>
      <x:c r="I11" s="60" t="n">
        <x:f>ASSUMPTIONS!C16</x:f>
        <x:v>4500</x:v>
      </x:c>
      <x:c r="J11" s="60" t="n">
        <x:f>ASSUMPTIONS!C20</x:f>
        <x:v>1900</x:v>
      </x:c>
      <x:c r="K11" s="60" t="n">
        <x:f>ASSUMPTIONS!C21</x:f>
        <x:v>900</x:v>
      </x:c>
      <x:c r="L11" s="61" t="n">
        <x:f>0</x:f>
        <x:v>0</x:v>
      </x:c>
      <x:c r="M11" s="36" t="n">
        <x:f>H11-SUM(I11:L11)</x:f>
        <x:v>-7181.44</x:v>
      </x:c>
    </x:row>
    <x:row r="12">
      <x:c r="A12" t="str">
        <x:v>Base</x:v>
      </x:c>
      <x:c r="B12" t="n">
        <x:v>1</x:v>
      </x:c>
      <x:c r="C12" s="56" t="n">
        <x:f>ASSUMPTIONS!D9</x:f>
        <x:v>2000</x:v>
      </x:c>
      <x:c r="D12" s="34" t="n">
        <x:f>C12*ASSUMPTIONS!D11</x:f>
        <x:v>1400</x:v>
      </x:c>
      <x:c r="E12" s="34" t="n">
        <x:f>D12*ASSUMPTIONS!D12*ASSUMPTIONS!D25</x:f>
        <x:v>336</x:v>
      </x:c>
      <x:c r="F12" s="34" t="n">
        <x:f>E12*ASSUMPTIONS!D13/60</x:f>
        <x:v>39.2</x:v>
      </x:c>
      <x:c r="G12" s="36" t="n">
        <x:f>F12*ASSUMPTIONS!D14</x:f>
        <x:v>1646.4</x:v>
      </x:c>
      <x:c r="H12" s="36" t="n">
        <x:f>G12*ASSUMPTIONS!D15</x:f>
        <x:v>823.2</x:v>
      </x:c>
      <x:c r="I12" s="60" t="n">
        <x:f>ASSUMPTIONS!D16</x:f>
        <x:v>3000</x:v>
      </x:c>
      <x:c r="J12" s="60" t="n">
        <x:f>ASSUMPTIONS!D20</x:f>
        <x:v>1100</x:v>
      </x:c>
      <x:c r="K12" s="60" t="n">
        <x:f>ASSUMPTIONS!D21</x:f>
        <x:v>550</x:v>
      </x:c>
      <x:c r="L12" s="60" t="n">
        <x:f>ASSUMPTIONS!D22</x:f>
        <x:v>30000</x:v>
      </x:c>
      <x:c r="M12" s="36" t="n">
        <x:f>H12-SUM(I12:L12)</x:f>
        <x:v>-33826.8</x:v>
      </x:c>
    </x:row>
    <x:row r="13">
      <x:c r="A13" t="str">
        <x:v>Base</x:v>
      </x:c>
      <x:c r="B13" t="n">
        <x:v>2</x:v>
      </x:c>
      <x:c r="C13" s="56" t="n">
        <x:f>ASSUMPTIONS!D9</x:f>
        <x:v>2000</x:v>
      </x:c>
      <x:c r="D13" s="34" t="n">
        <x:f>C13*ASSUMPTIONS!D11</x:f>
        <x:v>1400</x:v>
      </x:c>
      <x:c r="E13" s="34" t="n">
        <x:f>D13*ASSUMPTIONS!D12*ASSUMPTIONS!D26</x:f>
        <x:v>588</x:v>
      </x:c>
      <x:c r="F13" s="34" t="n">
        <x:f>E13*ASSUMPTIONS!D13/60</x:f>
        <x:v>68.6</x:v>
      </x:c>
      <x:c r="G13" s="36" t="n">
        <x:f>F13*ASSUMPTIONS!D14</x:f>
        <x:v>2881.2</x:v>
      </x:c>
      <x:c r="H13" s="36" t="n">
        <x:f>G13*ASSUMPTIONS!D15</x:f>
        <x:v>1440.6</x:v>
      </x:c>
      <x:c r="I13" s="60" t="n">
        <x:f>ASSUMPTIONS!D16</x:f>
        <x:v>3000</x:v>
      </x:c>
      <x:c r="J13" s="60" t="n">
        <x:f>ASSUMPTIONS!D20</x:f>
        <x:v>1100</x:v>
      </x:c>
      <x:c r="K13" s="60" t="n">
        <x:f>ASSUMPTIONS!D21</x:f>
        <x:v>550</x:v>
      </x:c>
      <x:c r="L13" s="61" t="n">
        <x:f>0</x:f>
        <x:v>0</x:v>
      </x:c>
      <x:c r="M13" s="36" t="n">
        <x:f>H13-SUM(I13:L13)</x:f>
        <x:v>-3209.4</x:v>
      </x:c>
    </x:row>
    <x:row r="14">
      <x:c r="A14" t="str">
        <x:v>Base</x:v>
      </x:c>
      <x:c r="B14" t="n">
        <x:v>3</x:v>
      </x:c>
      <x:c r="C14" s="56" t="n">
        <x:f>ASSUMPTIONS!D9</x:f>
        <x:v>2000</x:v>
      </x:c>
      <x:c r="D14" s="34" t="n">
        <x:f>C14*ASSUMPTIONS!D11</x:f>
        <x:v>1400</x:v>
      </x:c>
      <x:c r="E14" s="34" t="n">
        <x:f>D14*ASSUMPTIONS!D12*ASSUMPTIONS!D27</x:f>
        <x:v>756</x:v>
      </x:c>
      <x:c r="F14" s="34" t="n">
        <x:f>E14*ASSUMPTIONS!D13/60</x:f>
        <x:v>88.2</x:v>
      </x:c>
      <x:c r="G14" s="36" t="n">
        <x:f>F14*ASSUMPTIONS!D14</x:f>
        <x:v>3704.4</x:v>
      </x:c>
      <x:c r="H14" s="36" t="n">
        <x:f>G14*ASSUMPTIONS!D15</x:f>
        <x:v>1852.2</x:v>
      </x:c>
      <x:c r="I14" s="60" t="n">
        <x:f>ASSUMPTIONS!D16</x:f>
        <x:v>3000</x:v>
      </x:c>
      <x:c r="J14" s="60" t="n">
        <x:f>ASSUMPTIONS!D20</x:f>
        <x:v>1100</x:v>
      </x:c>
      <x:c r="K14" s="60" t="n">
        <x:f>ASSUMPTIONS!D21</x:f>
        <x:v>550</x:v>
      </x:c>
      <x:c r="L14" s="61" t="n">
        <x:f>0</x:f>
        <x:v>0</x:v>
      </x:c>
      <x:c r="M14" s="36" t="n">
        <x:f>H14-SUM(I14:L14)</x:f>
        <x:v>-2797.8</x:v>
      </x:c>
    </x:row>
    <x:row r="15">
      <x:c r="A15" t="str">
        <x:v>Upside</x:v>
      </x:c>
      <x:c r="B15" t="n">
        <x:v>1</x:v>
      </x:c>
      <x:c r="C15" s="56" t="n">
        <x:f>ASSUMPTIONS!E9</x:f>
        <x:v>3000</x:v>
      </x:c>
      <x:c r="D15" s="34" t="n">
        <x:f>C15*ASSUMPTIONS!E11</x:f>
        <x:v>2400</x:v>
      </x:c>
      <x:c r="E15" s="34" t="n">
        <x:f>D15*ASSUMPTIONS!E12*ASSUMPTIONS!E25</x:f>
        <x:v>990.0000000000001</x:v>
      </x:c>
      <x:c r="F15" s="34" t="n">
        <x:f>E15*ASSUMPTIONS!E13/60</x:f>
        <x:v>165.00000000000003</x:v>
      </x:c>
      <x:c r="G15" s="36" t="n">
        <x:f>F15*ASSUMPTIONS!E14</x:f>
        <x:v>7425.000000000001</x:v>
      </x:c>
      <x:c r="H15" s="36" t="n">
        <x:f>G15*ASSUMPTIONS!E15</x:f>
        <x:v>4455</x:v>
      </x:c>
      <x:c r="I15" s="60" t="n">
        <x:f>ASSUMPTIONS!E16</x:f>
        <x:v>3500</x:v>
      </x:c>
      <x:c r="J15" s="60" t="n">
        <x:f>ASSUMPTIONS!E20</x:f>
        <x:v>1200</x:v>
      </x:c>
      <x:c r="K15" s="60" t="n">
        <x:f>ASSUMPTIONS!E21</x:f>
        <x:v>650</x:v>
      </x:c>
      <x:c r="L15" s="60" t="n">
        <x:f>ASSUMPTIONS!E22</x:f>
        <x:v>35000</x:v>
      </x:c>
      <x:c r="M15" s="36" t="n">
        <x:f>H15-SUM(I15:L15)</x:f>
        <x:v>-35895</x:v>
      </x:c>
    </x:row>
    <x:row r="16">
      <x:c r="A16" t="str">
        <x:v>Upside</x:v>
      </x:c>
      <x:c r="B16" t="n">
        <x:v>2</x:v>
      </x:c>
      <x:c r="C16" s="56" t="n">
        <x:f>ASSUMPTIONS!E9</x:f>
        <x:v>3000</x:v>
      </x:c>
      <x:c r="D16" s="34" t="n">
        <x:f>C16*ASSUMPTIONS!E11</x:f>
        <x:v>2400</x:v>
      </x:c>
      <x:c r="E16" s="34" t="n">
        <x:f>D16*ASSUMPTIONS!E12*ASSUMPTIONS!E26</x:f>
        <x:v>1530</x:v>
      </x:c>
      <x:c r="F16" s="34" t="n">
        <x:f>E16*ASSUMPTIONS!E13/60</x:f>
        <x:v>255</x:v>
      </x:c>
      <x:c r="G16" s="36" t="n">
        <x:f>F16*ASSUMPTIONS!E14</x:f>
        <x:v>11475</x:v>
      </x:c>
      <x:c r="H16" s="36" t="n">
        <x:f>G16*ASSUMPTIONS!E15</x:f>
        <x:v>6885</x:v>
      </x:c>
      <x:c r="I16" s="60" t="n">
        <x:f>ASSUMPTIONS!E16</x:f>
        <x:v>3500</x:v>
      </x:c>
      <x:c r="J16" s="60" t="n">
        <x:f>ASSUMPTIONS!E20</x:f>
        <x:v>1200</x:v>
      </x:c>
      <x:c r="K16" s="60" t="n">
        <x:f>ASSUMPTIONS!E21</x:f>
        <x:v>650</x:v>
      </x:c>
      <x:c r="L16" s="61" t="n">
        <x:f>0</x:f>
        <x:v>0</x:v>
      </x:c>
      <x:c r="M16" s="36" t="n">
        <x:f>H16-SUM(I16:L16)</x:f>
        <x:v>1535</x:v>
      </x:c>
    </x:row>
    <x:row r="17">
      <x:c r="A17" t="str">
        <x:v>Upside</x:v>
      </x:c>
      <x:c r="B17" t="n">
        <x:v>3</x:v>
      </x:c>
      <x:c r="C17" s="56" t="n">
        <x:f>ASSUMPTIONS!E9</x:f>
        <x:v>3000</x:v>
      </x:c>
      <x:c r="D17" s="34" t="n">
        <x:f>C17*ASSUMPTIONS!E11</x:f>
        <x:v>2400</x:v>
      </x:c>
      <x:c r="E17" s="34" t="n">
        <x:f>D17*ASSUMPTIONS!E12*ASSUMPTIONS!E27</x:f>
        <x:v>1800</x:v>
      </x:c>
      <x:c r="F17" s="34" t="n">
        <x:f>E17*ASSUMPTIONS!E13/60</x:f>
        <x:v>300</x:v>
      </x:c>
      <x:c r="G17" s="36" t="n">
        <x:f>F17*ASSUMPTIONS!E14</x:f>
        <x:v>13500</x:v>
      </x:c>
      <x:c r="H17" s="36" t="n">
        <x:f>G17*ASSUMPTIONS!E15</x:f>
        <x:v>8100</x:v>
      </x:c>
      <x:c r="I17" s="60" t="n">
        <x:f>ASSUMPTIONS!E16</x:f>
        <x:v>3500</x:v>
      </x:c>
      <x:c r="J17" s="60" t="n">
        <x:f>ASSUMPTIONS!E20</x:f>
        <x:v>1200</x:v>
      </x:c>
      <x:c r="K17" s="60" t="n">
        <x:f>ASSUMPTIONS!E21</x:f>
        <x:v>650</x:v>
      </x:c>
      <x:c r="L17" s="61" t="n">
        <x:f>0</x:f>
        <x:v>0</x:v>
      </x:c>
      <x:c r="M17" s="36" t="n">
        <x:f>H17-SUM(I17:L17)</x:f>
        <x:v>2750</x:v>
      </x:c>
    </x:row>
  </x:sheetData>
  <x:mergeCells>
    <x:mergeCell ref="A1:M1"/>
    <x:mergeCell ref="A3:M3"/>
  </x:mergeCells>
  <x:pageMargins left="0.7" right="0.7" top="0.75" bottom="0.75" header="0.3" footer="0.3"/>
</x:worksheet>
</file>

<file path=xl/worksheets/sheet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44" hidden="0" customWidth="1"/>
    <x:col min="2" max="2" width="19" hidden="0" customWidth="1"/>
    <x:col min="3" max="3" width="19" hidden="0" customWidth="1"/>
    <x:col min="4" max="4" width="19" hidden="0" customWidth="1"/>
    <x:col min="5" max="5" width="19" hidden="0" customWidth="1"/>
  </x:cols>
  <x:sheetData>
    <x:row r="1" ht="42" customHeight="1">
      <x:c r="A1" s="4" t="str">
        <x:v>PILOT DECISION | 90-DAY CASH AND CAPACITY</x:v>
      </x:c>
      <x:c r="B1" s="4"/>
      <x:c r="C1" s="4"/>
      <x:c r="D1" s="4"/>
      <x:c r="E1" s="4"/>
      <x:c r="F1" s="4"/>
    </x:row>
    <x:row r="3" ht="37" customHeight="1">
      <x:c r="A3" s="11" t="str">
        <x:v>A negative short pilot P&amp;L is not itself a failed experiment. Use measured workflow outcomes, safety, and cost thresholds.</x:v>
      </x:c>
      <x:c r="B3" s="11"/>
      <x:c r="C3" s="11"/>
      <x:c r="D3" s="11"/>
      <x:c r="E3" s="11"/>
      <x:c r="F3" s="11"/>
    </x:row>
    <x:row r="8" ht="30" customHeight="1">
      <x:c r="A8" s="27" t="str">
        <x:v>Metric / units</x:v>
      </x:c>
      <x:c r="B8" s="27" t="str">
        <x:v>Downside</x:v>
      </x:c>
      <x:c r="C8" s="27" t="str">
        <x:v>Base</x:v>
      </x:c>
      <x:c r="D8" s="27" t="str">
        <x:v>Upside</x:v>
      </x:c>
    </x:row>
    <x:row r="9">
      <x:c r="A9" t="str">
        <x:v>Total pilot requests (#)</x:v>
      </x:c>
      <x:c r="B9" s="64" t="n">
        <x:f>SUM('PILOT MONTHLY'!C9:C11)</x:f>
        <x:v>3600</x:v>
      </x:c>
      <x:c r="C9" s="64" t="n">
        <x:f>SUM('PILOT MONTHLY'!C12:C14)</x:f>
        <x:v>6000</x:v>
      </x:c>
      <x:c r="D9" s="64" t="n">
        <x:f>SUM('PILOT MONTHLY'!C15:C17)</x:f>
        <x:v>9000</x:v>
      </x:c>
    </x:row>
    <x:row r="10">
      <x:c r="A10" t="str">
        <x:v>Eligible requests (#)</x:v>
      </x:c>
      <x:c r="B10" s="64" t="n">
        <x:f>SUM('PILOT MONTHLY'!D9:D11)</x:f>
        <x:v>2160</x:v>
      </x:c>
      <x:c r="C10" s="64" t="n">
        <x:f>SUM('PILOT MONTHLY'!D12:D14)</x:f>
        <x:v>4200</x:v>
      </x:c>
      <x:c r="D10" s="64" t="n">
        <x:f>SUM('PILOT MONTHLY'!D15:D17)</x:f>
        <x:v>7200</x:v>
      </x:c>
    </x:row>
    <x:row r="11">
      <x:c r="A11" t="str">
        <x:v>Completed automated requests (#)</x:v>
      </x:c>
      <x:c r="B11" s="64" t="n">
        <x:f>SUM('PILOT MONTHLY'!E9:E11)</x:f>
        <x:v>417.6</x:v>
      </x:c>
      <x:c r="C11" s="64" t="n">
        <x:f>SUM('PILOT MONTHLY'!E12:E14)</x:f>
        <x:v>1680</x:v>
      </x:c>
      <x:c r="D11" s="64" t="n">
        <x:f>SUM('PILOT MONTHLY'!E15:E17)</x:f>
        <x:v>4320</x:v>
      </x:c>
    </x:row>
    <x:row r="12">
      <x:c r="A12" t="str">
        <x:v>Net staff hours recovered</x:v>
      </x:c>
      <x:c r="B12" s="64" t="n">
        <x:f>SUM('PILOT MONTHLY'!F9:F11)</x:f>
        <x:v>27.84</x:v>
      </x:c>
      <x:c r="C12" s="64" t="n">
        <x:f>SUM('PILOT MONTHLY'!F12:F14)</x:f>
        <x:v>196</x:v>
      </x:c>
      <x:c r="D12" s="64" t="n">
        <x:f>SUM('PILOT MONTHLY'!F15:F17)</x:f>
        <x:v>720</x:v>
      </x:c>
    </x:row>
    <x:row r="13">
      <x:c r="A13" t="str">
        <x:v>Gross staff capacity value ($)</x:v>
      </x:c>
      <x:c r="B13" s="58" t="n">
        <x:f>SUM('PILOT MONTHLY'!G9:G11)</x:f>
        <x:v>1057.92</x:v>
      </x:c>
      <x:c r="C13" s="58" t="n">
        <x:f>SUM('PILOT MONTHLY'!G12:G14)</x:f>
        <x:v>8232</x:v>
      </x:c>
      <x:c r="D13" s="58" t="n">
        <x:f>SUM('PILOT MONTHLY'!G15:G17)</x:f>
        <x:v>32400</x:v>
      </x:c>
    </x:row>
    <x:row r="14" ht="26" customHeight="1">
      <x:c r="A14" s="71" t="str">
        <x:v>Realizable cash benefit ($)</x:v>
      </x:c>
      <x:c r="B14" s="72" t="n">
        <x:f>SUM('PILOT MONTHLY'!H9:H11)</x:f>
        <x:v>264.48</x:v>
      </x:c>
      <x:c r="C14" s="72" t="n">
        <x:f>SUM('PILOT MONTHLY'!H12:H14)</x:f>
        <x:v>4116</x:v>
      </x:c>
      <x:c r="D14" s="72" t="n">
        <x:f>SUM('PILOT MONTHLY'!H15:H17)</x:f>
        <x:v>19440</x:v>
      </x:c>
    </x:row>
    <x:row r="15">
      <x:c r="A15" t="str">
        <x:v>Vendor fees ($)</x:v>
      </x:c>
      <x:c r="B15" s="58" t="n">
        <x:f>SUM('PILOT MONTHLY'!I9:I11)</x:f>
        <x:v>13500</x:v>
      </x:c>
      <x:c r="C15" s="58" t="n">
        <x:f>SUM('PILOT MONTHLY'!I12:I14)</x:f>
        <x:v>9000</x:v>
      </x:c>
      <x:c r="D15" s="58" t="n">
        <x:f>SUM('PILOT MONTHLY'!I15:I17)</x:f>
        <x:v>10500</x:v>
      </x:c>
    </x:row>
    <x:row r="16">
      <x:c r="A16" t="str">
        <x:v>Incremental support ($)</x:v>
      </x:c>
      <x:c r="B16" s="58" t="n">
        <x:f>SUM('PILOT MONTHLY'!J9:J11)</x:f>
        <x:v>5700</x:v>
      </x:c>
      <x:c r="C16" s="58" t="n">
        <x:f>SUM('PILOT MONTHLY'!J12:J14)</x:f>
        <x:v>3300</x:v>
      </x:c>
      <x:c r="D16" s="58" t="n">
        <x:f>SUM('PILOT MONTHLY'!J15:J17)</x:f>
        <x:v>3600</x:v>
      </x:c>
    </x:row>
    <x:row r="17">
      <x:c r="A17" t="str">
        <x:v>Quality and audit ($)</x:v>
      </x:c>
      <x:c r="B17" s="58" t="n">
        <x:f>SUM('PILOT MONTHLY'!K9:K11)</x:f>
        <x:v>2700</x:v>
      </x:c>
      <x:c r="C17" s="58" t="n">
        <x:f>SUM('PILOT MONTHLY'!K12:K14)</x:f>
        <x:v>1650</x:v>
      </x:c>
      <x:c r="D17" s="58" t="n">
        <x:f>SUM('PILOT MONTHLY'!K15:K17)</x:f>
        <x:v>1950</x:v>
      </x:c>
    </x:row>
    <x:row r="18">
      <x:c r="A18" t="str">
        <x:v>One-time setup ($)</x:v>
      </x:c>
      <x:c r="B18" s="58" t="n">
        <x:f>SUM('PILOT MONTHLY'!L9:L11)</x:f>
        <x:v>45000</x:v>
      </x:c>
      <x:c r="C18" s="58" t="n">
        <x:f>SUM('PILOT MONTHLY'!L12:L14)</x:f>
        <x:v>30000</x:v>
      </x:c>
      <x:c r="D18" s="58" t="n">
        <x:f>SUM('PILOT MONTHLY'!L15:L17)</x:f>
        <x:v>35000</x:v>
      </x:c>
    </x:row>
    <x:row r="19" ht="26" customHeight="1">
      <x:c r="A19" s="71" t="str">
        <x:v>Total cash costs ($)</x:v>
      </x:c>
      <x:c r="B19" s="72" t="n">
        <x:f>SUM(B15:B18)</x:f>
        <x:v>66900</x:v>
      </x:c>
      <x:c r="C19" s="72" t="n">
        <x:f>SUM(C15:C18)</x:f>
        <x:v>43950</x:v>
      </x:c>
      <x:c r="D19" s="72" t="n">
        <x:f>SUM(D15:D18)</x:f>
        <x:v>51050</x:v>
      </x:c>
    </x:row>
    <x:row r="20" ht="26" customHeight="1">
      <x:c r="A20" s="71" t="str">
        <x:v>Net pilot cash contribution ($)</x:v>
      </x:c>
      <x:c r="B20" s="72" t="n">
        <x:f>B14-B19</x:f>
        <x:v>-66635.52</x:v>
      </x:c>
      <x:c r="C20" s="72" t="n">
        <x:f>C14-C19</x:f>
        <x:v>-39834</x:v>
      </x:c>
      <x:c r="D20" s="72" t="n">
        <x:f>D14-D19</x:f>
        <x:v>-31610</x:v>
      </x:c>
    </x:row>
    <x:row r="21">
      <x:c r="A21" t="str">
        <x:v>Cash benefit / cost (x)</x:v>
      </x:c>
      <x:c r="B21" s="66" t="n">
        <x:f>IFERROR(B14/B19,0)</x:f>
        <x:v>0.003953363228699552</x:v>
      </x:c>
      <x:c r="C21" s="66" t="n">
        <x:f>IFERROR(C14/C19,0)</x:f>
        <x:v>0.0936518771331058</x:v>
      </x:c>
      <x:c r="D21" s="66" t="n">
        <x:f>IFERROR(D14/D19,0)</x:f>
        <x:v>0.3808031341821743</x:v>
      </x:c>
    </x:row>
    <x:row r="22">
      <x:c r="A22" t="str">
        <x:v>Cost / automated request ($)</x:v>
      </x:c>
      <x:c r="B22" s="68" t="n">
        <x:f>IFERROR(B19/B11,0)</x:f>
        <x:v>160.20114942528735</x:v>
      </x:c>
      <x:c r="C22" s="68" t="n">
        <x:f>IFERROR(C19/C11,0)</x:f>
        <x:v>26.160714285714285</x:v>
      </x:c>
      <x:c r="D22" s="68" t="n">
        <x:f>IFERROR(D19/D11,0)</x:f>
        <x:v>11.81712962962963</x:v>
      </x:c>
    </x:row>
    <x:row r="23">
      <x:c r="A23" t="str">
        <x:v>Pilot operating interpretation</x:v>
      </x:c>
      <x:c r="B23" t="str">
        <x:f>IF(B20&gt;0,"Cash positive","Designed as evidence pilot")</x:f>
        <x:v>Designed as evidence pilot</x:v>
      </x:c>
      <x:c r="C23" t="str">
        <x:f>IF(C20&gt;0,"Cash positive","Designed as evidence pilot")</x:f>
        <x:v>Designed as evidence pilot</x:v>
      </x:c>
      <x:c r="D23" t="str">
        <x:f>IF(D20&gt;0,"Cash positive","Designed as evidence pilot")</x:f>
        <x:v>Designed as evidence pilot</x:v>
      </x:c>
    </x:row>
  </x:sheetData>
  <x:mergeCells>
    <x:mergeCell ref="A1:F1"/>
    <x:mergeCell ref="A3:F3"/>
  </x:mergeCells>
  <x:pageMargins left="0.7" right="0.7" top="0.75" bottom="0.75" header="0.3" footer="0.3"/>
</x:worksheet>
</file>

<file path=xl/worksheets/sheet5.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61" hidden="0" customWidth="1"/>
    <x:col min="2" max="2" width="19" hidden="0" customWidth="1"/>
    <x:col min="3" max="3" width="19" hidden="0" customWidth="1"/>
    <x:col min="4" max="4" width="19" hidden="0" customWidth="1"/>
    <x:col min="5" max="5" width="19" hidden="0" customWidth="1"/>
  </x:cols>
  <x:sheetData>
    <x:row r="1" ht="42" customHeight="1">
      <x:c r="A1" s="4" t="str">
        <x:v>SCALED DEPLOYMENT | TWO TIME HORIZONS</x:v>
      </x:c>
      <x:c r="B1" s="4"/>
      <x:c r="C1" s="4"/>
      <x:c r="D1" s="4"/>
      <x:c r="E1" s="4"/>
      <x:c r="F1" s="4"/>
    </x:row>
    <x:row r="3" ht="37" customHeight="1">
      <x:c r="A3" s="11" t="str">
        <x:v>Run-rate is a fully adopted annualized state. First-year includes an independent scale ramp and separate rollout charge.</x:v>
      </x:c>
      <x:c r="B3" s="11"/>
      <x:c r="C3" s="11"/>
      <x:c r="D3" s="11"/>
      <x:c r="E3" s="11"/>
      <x:c r="F3" s="11"/>
    </x:row>
    <x:row r="8" ht="30" customHeight="1">
      <x:c r="A8" s="27" t="str">
        <x:v>Metric / units</x:v>
      </x:c>
      <x:c r="B8" s="27" t="str">
        <x:v>Downside</x:v>
      </x:c>
      <x:c r="C8" s="27" t="str">
        <x:v>Base</x:v>
      </x:c>
      <x:c r="D8" s="27" t="str">
        <x:v>Upside</x:v>
      </x:c>
    </x:row>
    <x:row r="9">
      <x:c r="A9" t="str">
        <x:v>Annual in-scope requests (#)</x:v>
      </x:c>
      <x:c r="B9" s="64" t="n">
        <x:f>ASSUMPTIONS!C10*12</x:f>
        <x:v>108000</x:v>
      </x:c>
      <x:c r="C9" s="64" t="n">
        <x:f>ASSUMPTIONS!D10*12</x:f>
        <x:v>144000</x:v>
      </x:c>
      <x:c r="D9" s="64" t="n">
        <x:f>ASSUMPTIONS!E10*12</x:f>
        <x:v>180000</x:v>
      </x:c>
    </x:row>
    <x:row r="10">
      <x:c r="A10" t="str">
        <x:v>Eligible requests (#)</x:v>
      </x:c>
      <x:c r="B10" s="30" t="n">
        <x:f>B9*ASSUMPTIONS!C11</x:f>
        <x:v>64800</x:v>
      </x:c>
      <x:c r="C10" s="30" t="n">
        <x:f>C9*ASSUMPTIONS!D11</x:f>
        <x:v>100800</x:v>
      </x:c>
      <x:c r="D10" s="30" t="n">
        <x:f>D9*ASSUMPTIONS!E11</x:f>
        <x:v>144000</x:v>
      </x:c>
    </x:row>
    <x:row r="11">
      <x:c r="A11" t="str">
        <x:v>Automated requests at run-rate (#)</x:v>
      </x:c>
      <x:c r="B11" s="30" t="n">
        <x:f>B10*ASSUMPTIONS!C12</x:f>
        <x:v>25920</x:v>
      </x:c>
      <x:c r="C11" s="30" t="n">
        <x:f>C10*ASSUMPTIONS!D12</x:f>
        <x:v>60480</x:v>
      </x:c>
      <x:c r="D11" s="30" t="n">
        <x:f>D10*ASSUMPTIONS!E12</x:f>
        <x:v>108000</x:v>
      </x:c>
    </x:row>
    <x:row r="12">
      <x:c r="A12" t="str">
        <x:v>Staff hours recovered (#)</x:v>
      </x:c>
      <x:c r="B12" s="30" t="n">
        <x:f>B11*ASSUMPTIONS!C13/60</x:f>
        <x:v>1728</x:v>
      </x:c>
      <x:c r="C12" s="30" t="n">
        <x:f>C11*ASSUMPTIONS!D13/60</x:f>
        <x:v>7056</x:v>
      </x:c>
      <x:c r="D12" s="30" t="n">
        <x:f>D11*ASSUMPTIONS!E13/60</x:f>
        <x:v>18000</x:v>
      </x:c>
    </x:row>
    <x:row r="13">
      <x:c r="A13" t="str">
        <x:v>Gross capacity value at run-rate ($)</x:v>
      </x:c>
      <x:c r="B13" s="36" t="n">
        <x:f>B12*ASSUMPTIONS!C14</x:f>
        <x:v>65664</x:v>
      </x:c>
      <x:c r="C13" s="36" t="n">
        <x:f>C12*ASSUMPTIONS!D14</x:f>
        <x:v>296352</x:v>
      </x:c>
      <x:c r="D13" s="36" t="n">
        <x:f>D12*ASSUMPTIONS!E14</x:f>
        <x:v>810000</x:v>
      </x:c>
    </x:row>
    <x:row r="14">
      <x:c r="A14" t="str">
        <x:v>Cash savings at run-rate ($)</x:v>
      </x:c>
      <x:c r="B14" s="36" t="n">
        <x:f>B13*ASSUMPTIONS!C15</x:f>
        <x:v>16416</x:v>
      </x:c>
      <x:c r="C14" s="36" t="n">
        <x:f>C13*ASSUMPTIONS!D15</x:f>
        <x:v>148176</x:v>
      </x:c>
      <x:c r="D14" s="36" t="n">
        <x:f>D13*ASSUMPTIONS!E15</x:f>
        <x:v>486000</x:v>
      </x:c>
    </x:row>
    <x:row r="15">
      <x:c r="A15" t="str">
        <x:v>Vendor subscription ($/year)</x:v>
      </x:c>
      <x:c r="B15" s="58" t="n">
        <x:f>ASSUMPTIONS!C17*12</x:f>
        <x:v>126000</x:v>
      </x:c>
      <x:c r="C15" s="58" t="n">
        <x:f>ASSUMPTIONS!D17*12</x:f>
        <x:v>96000</x:v>
      </x:c>
      <x:c r="D15" s="58" t="n">
        <x:f>ASSUMPTIONS!E17*12</x:f>
        <x:v>108000</x:v>
      </x:c>
    </x:row>
    <x:row r="16">
      <x:c r="A16" t="str">
        <x:v>Support and operations ($/year)</x:v>
      </x:c>
      <x:c r="B16" s="58" t="n">
        <x:f>ASSUMPTIONS!C18*12</x:f>
        <x:v>27600</x:v>
      </x:c>
      <x:c r="C16" s="58" t="n">
        <x:f>ASSUMPTIONS!D18*12</x:f>
        <x:v>18000</x:v>
      </x:c>
      <x:c r="D16" s="58" t="n">
        <x:f>ASSUMPTIONS!E18*12</x:f>
        <x:v>20400</x:v>
      </x:c>
    </x:row>
    <x:row r="17">
      <x:c r="A17" t="str">
        <x:v>Audit, compliance, oversight ($/year)</x:v>
      </x:c>
      <x:c r="B17" s="58" t="n">
        <x:f>ASSUMPTIONS!C19*12</x:f>
        <x:v>13200</x:v>
      </x:c>
      <x:c r="C17" s="58" t="n">
        <x:f>ASSUMPTIONS!D19*12</x:f>
        <x:v>8400</x:v>
      </x:c>
      <x:c r="D17" s="58" t="n">
        <x:f>ASSUMPTIONS!E19*12</x:f>
        <x:v>10200</x:v>
      </x:c>
    </x:row>
    <x:row r="18" ht="26" customHeight="1">
      <x:c r="A18" s="71" t="str">
        <x:v>Total annual recurring cost ($)</x:v>
      </x:c>
      <x:c r="B18" s="72" t="n">
        <x:f>SUM(B15:B17)</x:f>
        <x:v>166800</x:v>
      </x:c>
      <x:c r="C18" s="72" t="n">
        <x:f>SUM(C15:C17)</x:f>
        <x:v>122400</x:v>
      </x:c>
      <x:c r="D18" s="72" t="n">
        <x:f>SUM(D15:D17)</x:f>
        <x:v>138600</x:v>
      </x:c>
    </x:row>
    <x:row r="19" ht="26" customHeight="1">
      <x:c r="A19" s="71" t="str">
        <x:v>Run-rate net cash value ($/year)</x:v>
      </x:c>
      <x:c r="B19" s="72" t="n">
        <x:f>B14-B18</x:f>
        <x:v>-150384</x:v>
      </x:c>
      <x:c r="C19" s="72" t="n">
        <x:f>C14-C18</x:f>
        <x:v>25776</x:v>
      </x:c>
      <x:c r="D19" s="72" t="n">
        <x:f>D14-D18</x:f>
        <x:v>347400</x:v>
      </x:c>
    </x:row>
    <x:row r="20">
      <x:c r="A20" t="str">
        <x:v>Recurring benefit / recurring cost (x)</x:v>
      </x:c>
      <x:c r="B20" s="66" t="n">
        <x:f>IFERROR(B14/B18,0)</x:f>
        <x:v>0.09841726618705036</x:v>
      </x:c>
      <x:c r="C20" s="66" t="n">
        <x:f>IFERROR(C14/C18,0)</x:f>
        <x:v>1.2105882352941177</x:v>
      </x:c>
      <x:c r="D20" s="66" t="n">
        <x:f>IFERROR(D14/D18,0)</x:f>
        <x:v>3.5064935064935066</x:v>
      </x:c>
    </x:row>
    <x:row r="21">
      <x:c r="A21" t="str">
        <x:v>Cash conversion needed to break even (%)</x:v>
      </x:c>
      <x:c r="B21" s="32" t="n">
        <x:f>IFERROR(B18/B13,0)</x:f>
        <x:v>2.540204678362573</x:v>
      </x:c>
      <x:c r="C21" s="32" t="n">
        <x:f>IFERROR(C18/C13,0)</x:f>
        <x:v>0.413022351797862</x:v>
      </x:c>
      <x:c r="D21" s="32" t="n">
        <x:f>IFERROR(D18/D13,0)</x:f>
        <x:v>0.1711111111111111</x:v>
      </x:c>
    </x:row>
    <x:row r="22">
      <x:c r="A22" t="str">
        <x:v>Max vendor price at 1.20x benefit/cost ($/mo)</x:v>
      </x:c>
      <x:c r="B22" s="36" t="n">
        <x:f>(B14/1.2-B16-B17)/12</x:f>
        <x:v>-2260</x:v>
      </x:c>
      <x:c r="C22" s="36" t="n">
        <x:f>(C14/1.2-C16-C17)/12</x:f>
        <x:v>8090</x:v>
      </x:c>
      <x:c r="D22" s="36" t="n">
        <x:f>(D14/1.2-D16-D17)/12</x:f>
        <x:v>31200</x:v>
      </x:c>
    </x:row>
    <x:row r="23">
      <x:c r="A23" t="str">
        <x:v>First-year adoption ramp (%)</x:v>
      </x:c>
      <x:c r="B23" s="78" t="n">
        <x:f>ASSUMPTIONS!C24</x:f>
        <x:v>0.6</x:v>
      </x:c>
      <x:c r="C23" s="78" t="n">
        <x:f>ASSUMPTIONS!D24</x:f>
        <x:v>0.75</x:v>
      </x:c>
      <x:c r="D23" s="78" t="n">
        <x:f>ASSUMPTIONS!E24</x:f>
        <x:v>0.85</x:v>
      </x:c>
    </x:row>
    <x:row r="24">
      <x:c r="A24" t="str">
        <x:v>First-year realized cash benefit ($)</x:v>
      </x:c>
      <x:c r="B24" s="36" t="n">
        <x:f>B14*B23</x:f>
        <x:v>9849.6</x:v>
      </x:c>
      <x:c r="C24" s="36" t="n">
        <x:f>C14*C23</x:f>
        <x:v>111132</x:v>
      </x:c>
      <x:c r="D24" s="36" t="n">
        <x:f>D14*D23</x:f>
        <x:v>413100</x:v>
      </x:c>
    </x:row>
    <x:row r="25">
      <x:c r="A25" t="str">
        <x:v>Additional scaled rollout setup ($)</x:v>
      </x:c>
      <x:c r="B25" s="58" t="n">
        <x:f>ASSUMPTIONS!C23</x:f>
        <x:v>40000</x:v>
      </x:c>
      <x:c r="C25" s="58" t="n">
        <x:f>ASSUMPTIONS!D23</x:f>
        <x:v>20000</x:v>
      </x:c>
      <x:c r="D25" s="58" t="n">
        <x:f>ASSUMPTIONS!E23</x:f>
        <x:v>25000</x:v>
      </x:c>
    </x:row>
    <x:row r="26" ht="26" customHeight="1">
      <x:c r="A26" s="71" t="str">
        <x:v>First-year total cash costs ($)</x:v>
      </x:c>
      <x:c r="B26" s="72" t="n">
        <x:f>SUM(B18,B25)</x:f>
        <x:v>206800</x:v>
      </x:c>
      <x:c r="C26" s="72" t="n">
        <x:f>SUM(C18,C25)</x:f>
        <x:v>142400</x:v>
      </x:c>
      <x:c r="D26" s="72" t="n">
        <x:f>SUM(D18,D25)</x:f>
        <x:v>163600</x:v>
      </x:c>
    </x:row>
    <x:row r="27" ht="26" customHeight="1">
      <x:c r="A27" s="71" t="str">
        <x:v>First-year net cash ($)</x:v>
      </x:c>
      <x:c r="B27" s="72" t="n">
        <x:f>B24-B26</x:f>
        <x:v>-196950.4</x:v>
      </x:c>
      <x:c r="C27" s="72" t="n">
        <x:f>C24-C26</x:f>
        <x:v>-31268</x:v>
      </x:c>
      <x:c r="D27" s="72" t="n">
        <x:f>D24-D26</x:f>
        <x:v>249500</x:v>
      </x:c>
    </x:row>
    <x:row r="28">
      <x:c r="A28" t="str">
        <x:v>First-year net cash ROI (%)</x:v>
      </x:c>
      <x:c r="B28" s="32" t="n">
        <x:f>IFERROR(B27/B26,0)</x:f>
        <x:v>-0.9523713733075435</x:v>
      </x:c>
      <x:c r="C28" s="32" t="n">
        <x:f>IFERROR(C27/C26,0)</x:f>
        <x:v>-0.21957865168539326</x:v>
      </x:c>
      <x:c r="D28" s="32" t="n">
        <x:f>IFERROR(D27/D26,0)</x:f>
        <x:v>1.5250611246943766</x:v>
      </x:c>
    </x:row>
    <x:row r="29">
      <x:c r="A29" t="str">
        <x:v>Months to recover rollout cost at run-rate (0 = no payback)</x:v>
      </x:c>
      <x:c r="B29" s="34" t="n">
        <x:f>IF(B19&gt;0,B25/B19*12,0)</x:f>
        <x:v>0</x:v>
      </x:c>
      <x:c r="C29" s="34" t="n">
        <x:f>IF(C19&gt;0,C25/C19*12,0)</x:f>
        <x:v>9.310986964618248</x:v>
      </x:c>
      <x:c r="D29" s="34" t="n">
        <x:f>IF(D19&gt;0,D25/D19*12,0)</x:f>
        <x:v>0.8635578583765111</x:v>
      </x:c>
    </x:row>
    <x:row r="30">
      <x:c r="A30" t="str">
        <x:v>Minutes saved needed for run-rate break-even</x:v>
      </x:c>
      <x:c r="B30" s="34" t="n">
        <x:f>IFERROR(B18*60/(B11*ASSUMPTIONS!C14*ASSUMPTIONS!C15),0)</x:f>
        <x:v>40.64327485380117</x:v>
      </x:c>
      <x:c r="C30" s="34" t="n">
        <x:f>IFERROR(C18*60/(C11*ASSUMPTIONS!D14*ASSUMPTIONS!D15),0)</x:f>
        <x:v>5.782312925170068</x:v>
      </x:c>
      <x:c r="D30" s="34" t="n">
        <x:f>IFERROR(D18*60/(D11*ASSUMPTIONS!E14*ASSUMPTIONS!E15),0)</x:f>
        <x:v>2.8518518518518516</x:v>
      </x:c>
    </x:row>
    <x:row r="31">
      <x:c r="A31" t="str">
        <x:v>Run-rate FTE equivalent (not headcount reduction)</x:v>
      </x:c>
      <x:c r="B31" s="34" t="n">
        <x:f>B12/2080</x:f>
        <x:v>0.8307692307692308</x:v>
      </x:c>
      <x:c r="C31" s="34" t="n">
        <x:f>C12/2080</x:f>
        <x:v>3.3923076923076922</x:v>
      </x:c>
      <x:c r="D31" s="34" t="n">
        <x:f>D12/2080</x:f>
        <x:v>8.653846153846153</x:v>
      </x:c>
    </x:row>
    <x:row r="34" ht="23" customHeight="1">
      <x:c r="A34" s="81" t="str">
        <x:v>A 12-month first-year calculation is a modeled full-scale year after pilot, not the combined pilot + rollout contract. Negotiate credit for pilot fees before combining budgets. Do not equate time returned to employees with cash saved.</x:v>
      </x:c>
      <x:c r="B34" s="81"/>
      <x:c r="C34" s="81"/>
      <x:c r="D34" s="81"/>
      <x:c r="E34" s="81"/>
      <x:c r="F34" s="81"/>
    </x:row>
    <x:row r="35" ht="23" customHeight="1">
      <x:c r="A35" s="81"/>
      <x:c r="B35" s="81"/>
      <x:c r="C35" s="81"/>
      <x:c r="D35" s="81"/>
      <x:c r="E35" s="81"/>
      <x:c r="F35" s="81"/>
    </x:row>
  </x:sheetData>
  <x:mergeCells>
    <x:mergeCell ref="A1:F1"/>
    <x:mergeCell ref="A3:F3"/>
    <x:mergeCell ref="A34:F35"/>
  </x:mergeCells>
  <x:pageMargins left="0.7" right="0.7" top="0.75" bottom="0.75" header="0.3" footer="0.3"/>
  <x:drawing xmlns:r="http://schemas.openxmlformats.org/officeDocument/2006/relationships" r:id="R5ef3ea18e8754285"/>
</x:worksheet>
</file>

<file path=xl/worksheets/sheet6.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16"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s>
  <x:sheetData>
    <x:row r="1" ht="42" customHeight="1">
      <x:c r="A1" s="4" t="str">
        <x:v>BASE CASE | RECURRING NET CASH SENSITIVITY</x:v>
      </x:c>
      <x:c r="B1" s="4"/>
      <x:c r="C1" s="4"/>
      <x:c r="D1" s="4"/>
      <x:c r="E1" s="4"/>
      <x:c r="F1" s="4"/>
      <x:c r="G1" s="4"/>
      <x:c r="H1" s="4"/>
      <x:c r="I1" s="4"/>
    </x:row>
    <x:row r="3" ht="37" customHeight="1">
      <x:c r="A3" s="11" t="str">
        <x:v>USD annually; tests the joint importance of realizable cash savings and monthly vendor pricing. Support and oversight remain at base-case values.</x:v>
      </x:c>
      <x:c r="B3" s="11"/>
      <x:c r="C3" s="11"/>
      <x:c r="D3" s="11"/>
      <x:c r="E3" s="11"/>
      <x:c r="F3" s="11"/>
      <x:c r="G3" s="11"/>
      <x:c r="H3" s="11"/>
      <x:c r="I3" s="11"/>
    </x:row>
    <x:row r="6">
      <x:c r="A6" t="str">
        <x:v>Cash realization vs monthly vendor price, USD. Zero is break-even.</x:v>
      </x:c>
    </x:row>
    <x:row r="8" ht="30" customHeight="1">
      <x:c r="A8" s="27" t="str">
        <x:v>Cash realization</x:v>
      </x:c>
      <x:c r="B8" s="27"/>
      <x:c r="C8" s="84" t="n">
        <x:v>4000</x:v>
      </x:c>
      <x:c r="D8" s="84" t="n">
        <x:v>6000</x:v>
      </x:c>
      <x:c r="E8" s="84" t="n">
        <x:v>8000</x:v>
      </x:c>
      <x:c r="F8" s="84" t="n">
        <x:v>10000</x:v>
      </x:c>
      <x:c r="G8" s="84" t="n">
        <x:v>12000</x:v>
      </x:c>
      <x:c r="H8" s="84" t="n">
        <x:v>14000</x:v>
      </x:c>
      <x:c r="I8" s="84" t="n">
        <x:v>16000</x:v>
      </x:c>
    </x:row>
    <x:row r="9">
      <x:c r="B9" s="86" t="n">
        <x:v>0.2</x:v>
      </x:c>
      <x:c r="C9" s="36" t="n">
        <x:f>'SCALE ECONOMICS'!C13*$B9-12*(C$8+ASSUMPTIONS!$D$18+ASSUMPTIONS!$D$19)</x:f>
        <x:v>-15129.599999999999</x:v>
      </x:c>
      <x:c r="D9" s="36" t="n">
        <x:f>'SCALE ECONOMICS'!C13*$B9-12*(D$8+ASSUMPTIONS!$D$18+ASSUMPTIONS!$D$19)</x:f>
        <x:v>-39129.6</x:v>
      </x:c>
      <x:c r="E9" s="36" t="n">
        <x:f>'SCALE ECONOMICS'!C13*$B9-12*(E$8+ASSUMPTIONS!$D$18+ASSUMPTIONS!$D$19)</x:f>
        <x:v>-63129.6</x:v>
      </x:c>
      <x:c r="F9" s="36" t="n">
        <x:f>'SCALE ECONOMICS'!C13*$B9-12*(F$8+ASSUMPTIONS!$D$18+ASSUMPTIONS!$D$19)</x:f>
        <x:v>-87129.6</x:v>
      </x:c>
      <x:c r="G9" s="36" t="n">
        <x:f>'SCALE ECONOMICS'!C13*$B9-12*(G$8+ASSUMPTIONS!$D$18+ASSUMPTIONS!$D$19)</x:f>
        <x:v>-111129.6</x:v>
      </x:c>
      <x:c r="H9" s="36" t="n">
        <x:f>'SCALE ECONOMICS'!C13*$B9-12*(H$8+ASSUMPTIONS!$D$18+ASSUMPTIONS!$D$19)</x:f>
        <x:v>-135129.6</x:v>
      </x:c>
      <x:c r="I9" s="36" t="n">
        <x:f>'SCALE ECONOMICS'!C13*$B9-12*(I$8+ASSUMPTIONS!$D$18+ASSUMPTIONS!$D$19)</x:f>
        <x:v>-159129.6</x:v>
      </x:c>
    </x:row>
    <x:row r="10">
      <x:c r="B10" s="86" t="n">
        <x:v>0.3</x:v>
      </x:c>
      <x:c r="C10" s="36" t="n">
        <x:f>'SCALE ECONOMICS'!C13*$B10-12*(C$8+ASSUMPTIONS!$D$18+ASSUMPTIONS!$D$19)</x:f>
        <x:v>14505.599999999991</x:v>
      </x:c>
      <x:c r="D10" s="36" t="n">
        <x:f>'SCALE ECONOMICS'!C13*$B10-12*(D$8+ASSUMPTIONS!$D$18+ASSUMPTIONS!$D$19)</x:f>
        <x:v>-9494.400000000009</x:v>
      </x:c>
      <x:c r="E10" s="36" t="n">
        <x:f>'SCALE ECONOMICS'!C13*$B10-12*(E$8+ASSUMPTIONS!$D$18+ASSUMPTIONS!$D$19)</x:f>
        <x:v>-33494.40000000001</x:v>
      </x:c>
      <x:c r="F10" s="36" t="n">
        <x:f>'SCALE ECONOMICS'!C13*$B10-12*(F$8+ASSUMPTIONS!$D$18+ASSUMPTIONS!$D$19)</x:f>
        <x:v>-57494.40000000001</x:v>
      </x:c>
      <x:c r="G10" s="36" t="n">
        <x:f>'SCALE ECONOMICS'!C13*$B10-12*(G$8+ASSUMPTIONS!$D$18+ASSUMPTIONS!$D$19)</x:f>
        <x:v>-81494.40000000001</x:v>
      </x:c>
      <x:c r="H10" s="36" t="n">
        <x:f>'SCALE ECONOMICS'!C13*$B10-12*(H$8+ASSUMPTIONS!$D$18+ASSUMPTIONS!$D$19)</x:f>
        <x:v>-105494.40000000001</x:v>
      </x:c>
      <x:c r="I10" s="36" t="n">
        <x:f>'SCALE ECONOMICS'!C13*$B10-12*(I$8+ASSUMPTIONS!$D$18+ASSUMPTIONS!$D$19)</x:f>
        <x:v>-129494.40000000001</x:v>
      </x:c>
    </x:row>
    <x:row r="11">
      <x:c r="B11" s="86" t="n">
        <x:v>0.4</x:v>
      </x:c>
      <x:c r="C11" s="36" t="n">
        <x:f>'SCALE ECONOMICS'!C13*$B11-12*(C$8+ASSUMPTIONS!$D$18+ASSUMPTIONS!$D$19)</x:f>
        <x:v>44140.8</x:v>
      </x:c>
      <x:c r="D11" s="36" t="n">
        <x:f>'SCALE ECONOMICS'!C13*$B11-12*(D$8+ASSUMPTIONS!$D$18+ASSUMPTIONS!$D$19)</x:f>
        <x:v>20140.800000000003</x:v>
      </x:c>
      <x:c r="E11" s="36" t="n">
        <x:f>'SCALE ECONOMICS'!C13*$B11-12*(E$8+ASSUMPTIONS!$D$18+ASSUMPTIONS!$D$19)</x:f>
        <x:v>-3859.199999999997</x:v>
      </x:c>
      <x:c r="F11" s="36" t="n">
        <x:f>'SCALE ECONOMICS'!C13*$B11-12*(F$8+ASSUMPTIONS!$D$18+ASSUMPTIONS!$D$19)</x:f>
        <x:v>-27859.199999999997</x:v>
      </x:c>
      <x:c r="G11" s="36" t="n">
        <x:f>'SCALE ECONOMICS'!C13*$B11-12*(G$8+ASSUMPTIONS!$D$18+ASSUMPTIONS!$D$19)</x:f>
        <x:v>-51859.2</x:v>
      </x:c>
      <x:c r="H11" s="36" t="n">
        <x:f>'SCALE ECONOMICS'!C13*$B11-12*(H$8+ASSUMPTIONS!$D$18+ASSUMPTIONS!$D$19)</x:f>
        <x:v>-75859.2</x:v>
      </x:c>
      <x:c r="I11" s="36" t="n">
        <x:f>'SCALE ECONOMICS'!C13*$B11-12*(I$8+ASSUMPTIONS!$D$18+ASSUMPTIONS!$D$19)</x:f>
        <x:v>-99859.2</x:v>
      </x:c>
    </x:row>
    <x:row r="12">
      <x:c r="B12" s="86" t="n">
        <x:v>0.5</x:v>
      </x:c>
      <x:c r="C12" s="36" t="n">
        <x:f>'SCALE ECONOMICS'!C13*$B12-12*(C$8+ASSUMPTIONS!$D$18+ASSUMPTIONS!$D$19)</x:f>
        <x:v>73776</x:v>
      </x:c>
      <x:c r="D12" s="36" t="n">
        <x:f>'SCALE ECONOMICS'!C13*$B12-12*(D$8+ASSUMPTIONS!$D$18+ASSUMPTIONS!$D$19)</x:f>
        <x:v>49776</x:v>
      </x:c>
      <x:c r="E12" s="36" t="n">
        <x:f>'SCALE ECONOMICS'!C13*$B12-12*(E$8+ASSUMPTIONS!$D$18+ASSUMPTIONS!$D$19)</x:f>
        <x:v>25776</x:v>
      </x:c>
      <x:c r="F12" s="36" t="n">
        <x:f>'SCALE ECONOMICS'!C13*$B12-12*(F$8+ASSUMPTIONS!$D$18+ASSUMPTIONS!$D$19)</x:f>
        <x:v>1776</x:v>
      </x:c>
      <x:c r="G12" s="36" t="n">
        <x:f>'SCALE ECONOMICS'!C13*$B12-12*(G$8+ASSUMPTIONS!$D$18+ASSUMPTIONS!$D$19)</x:f>
        <x:v>-22224</x:v>
      </x:c>
      <x:c r="H12" s="36" t="n">
        <x:f>'SCALE ECONOMICS'!C13*$B12-12*(H$8+ASSUMPTIONS!$D$18+ASSUMPTIONS!$D$19)</x:f>
        <x:v>-46224</x:v>
      </x:c>
      <x:c r="I12" s="36" t="n">
        <x:f>'SCALE ECONOMICS'!C13*$B12-12*(I$8+ASSUMPTIONS!$D$18+ASSUMPTIONS!$D$19)</x:f>
        <x:v>-70224</x:v>
      </x:c>
    </x:row>
    <x:row r="13">
      <x:c r="B13" s="86" t="n">
        <x:v>0.6</x:v>
      </x:c>
      <x:c r="C13" s="36" t="n">
        <x:f>'SCALE ECONOMICS'!C13*$B13-12*(C$8+ASSUMPTIONS!$D$18+ASSUMPTIONS!$D$19)</x:f>
        <x:v>103411.19999999998</x:v>
      </x:c>
      <x:c r="D13" s="36" t="n">
        <x:f>'SCALE ECONOMICS'!C13*$B13-12*(D$8+ASSUMPTIONS!$D$18+ASSUMPTIONS!$D$19)</x:f>
        <x:v>79411.19999999998</x:v>
      </x:c>
      <x:c r="E13" s="36" t="n">
        <x:f>'SCALE ECONOMICS'!C13*$B13-12*(E$8+ASSUMPTIONS!$D$18+ASSUMPTIONS!$D$19)</x:f>
        <x:v>55411.19999999998</x:v>
      </x:c>
      <x:c r="F13" s="36" t="n">
        <x:f>'SCALE ECONOMICS'!C13*$B13-12*(F$8+ASSUMPTIONS!$D$18+ASSUMPTIONS!$D$19)</x:f>
        <x:v>31411.199999999983</x:v>
      </x:c>
      <x:c r="G13" s="36" t="n">
        <x:f>'SCALE ECONOMICS'!C13*$B13-12*(G$8+ASSUMPTIONS!$D$18+ASSUMPTIONS!$D$19)</x:f>
        <x:v>7411.1999999999825</x:v>
      </x:c>
      <x:c r="H13" s="36" t="n">
        <x:f>'SCALE ECONOMICS'!C13*$B13-12*(H$8+ASSUMPTIONS!$D$18+ASSUMPTIONS!$D$19)</x:f>
        <x:v>-16588.800000000017</x:v>
      </x:c>
      <x:c r="I13" s="36" t="n">
        <x:f>'SCALE ECONOMICS'!C13*$B13-12*(I$8+ASSUMPTIONS!$D$18+ASSUMPTIONS!$D$19)</x:f>
        <x:v>-40588.80000000002</x:v>
      </x:c>
    </x:row>
    <x:row r="14">
      <x:c r="B14" s="86" t="n">
        <x:v>0.7</x:v>
      </x:c>
      <x:c r="C14" s="36" t="n">
        <x:f>'SCALE ECONOMICS'!C13*$B14-12*(C$8+ASSUMPTIONS!$D$18+ASSUMPTIONS!$D$19)</x:f>
        <x:v>133046.4</x:v>
      </x:c>
      <x:c r="D14" s="36" t="n">
        <x:f>'SCALE ECONOMICS'!C13*$B14-12*(D$8+ASSUMPTIONS!$D$18+ASSUMPTIONS!$D$19)</x:f>
        <x:v>109046.4</x:v>
      </x:c>
      <x:c r="E14" s="36" t="n">
        <x:f>'SCALE ECONOMICS'!C13*$B14-12*(E$8+ASSUMPTIONS!$D$18+ASSUMPTIONS!$D$19)</x:f>
        <x:v>85046.4</x:v>
      </x:c>
      <x:c r="F14" s="36" t="n">
        <x:f>'SCALE ECONOMICS'!C13*$B14-12*(F$8+ASSUMPTIONS!$D$18+ASSUMPTIONS!$D$19)</x:f>
        <x:v>61046.399999999994</x:v>
      </x:c>
      <x:c r="G14" s="36" t="n">
        <x:f>'SCALE ECONOMICS'!C13*$B14-12*(G$8+ASSUMPTIONS!$D$18+ASSUMPTIONS!$D$19)</x:f>
        <x:v>37046.399999999994</x:v>
      </x:c>
      <x:c r="H14" s="36" t="n">
        <x:f>'SCALE ECONOMICS'!C13*$B14-12*(H$8+ASSUMPTIONS!$D$18+ASSUMPTIONS!$D$19)</x:f>
        <x:v>13046.399999999994</x:v>
      </x:c>
      <x:c r="I14" s="36" t="n">
        <x:f>'SCALE ECONOMICS'!C13*$B14-12*(I$8+ASSUMPTIONS!$D$18+ASSUMPTIONS!$D$19)</x:f>
        <x:v>-10953.600000000006</x:v>
      </x:c>
    </x:row>
    <x:row r="15">
      <x:c r="B15" s="86" t="n">
        <x:v>0.8</x:v>
      </x:c>
      <x:c r="C15" s="36" t="n">
        <x:f>'SCALE ECONOMICS'!C13*$B15-12*(C$8+ASSUMPTIONS!$D$18+ASSUMPTIONS!$D$19)</x:f>
        <x:v>162681.6</x:v>
      </x:c>
      <x:c r="D15" s="36" t="n">
        <x:f>'SCALE ECONOMICS'!C13*$B15-12*(D$8+ASSUMPTIONS!$D$18+ASSUMPTIONS!$D$19)</x:f>
        <x:v>138681.6</x:v>
      </x:c>
      <x:c r="E15" s="36" t="n">
        <x:f>'SCALE ECONOMICS'!C13*$B15-12*(E$8+ASSUMPTIONS!$D$18+ASSUMPTIONS!$D$19)</x:f>
        <x:v>114681.6</x:v>
      </x:c>
      <x:c r="F15" s="36" t="n">
        <x:f>'SCALE ECONOMICS'!C13*$B15-12*(F$8+ASSUMPTIONS!$D$18+ASSUMPTIONS!$D$19)</x:f>
        <x:v>90681.6</x:v>
      </x:c>
      <x:c r="G15" s="36" t="n">
        <x:f>'SCALE ECONOMICS'!C13*$B15-12*(G$8+ASSUMPTIONS!$D$18+ASSUMPTIONS!$D$19)</x:f>
        <x:v>66681.6</x:v>
      </x:c>
      <x:c r="H15" s="36" t="n">
        <x:f>'SCALE ECONOMICS'!C13*$B15-12*(H$8+ASSUMPTIONS!$D$18+ASSUMPTIONS!$D$19)</x:f>
        <x:v>42681.600000000006</x:v>
      </x:c>
      <x:c r="I15" s="36" t="n">
        <x:f>'SCALE ECONOMICS'!C13*$B15-12*(I$8+ASSUMPTIONS!$D$18+ASSUMPTIONS!$D$19)</x:f>
        <x:v>18681.600000000006</x:v>
      </x:c>
    </x:row>
    <x:row r="18">
      <x:c r="A18" s="20" t="str">
        <x:v>How to interpret: the base case at 50% realized cash conversion and $8,000 monthly vendor cost generates modest steady-state positive net cash, but full-scale Year 1 remains negative from ramp and rollout. A vendor fee or staff-cost misestimate can reverse the recommendation.</x:v>
      </x:c>
      <x:c r="B18" s="20"/>
      <x:c r="C18" s="20"/>
      <x:c r="D18" s="20"/>
      <x:c r="E18" s="20"/>
      <x:c r="F18" s="20"/>
      <x:c r="G18" s="20"/>
      <x:c r="H18" s="20"/>
      <x:c r="I18" s="20"/>
    </x:row>
    <x:row r="19">
      <x:c r="A19" s="20"/>
      <x:c r="B19" s="20"/>
      <x:c r="C19" s="20"/>
      <x:c r="D19" s="20"/>
      <x:c r="E19" s="20"/>
      <x:c r="F19" s="20"/>
      <x:c r="G19" s="20"/>
      <x:c r="H19" s="20"/>
      <x:c r="I19" s="20"/>
    </x:row>
  </x:sheetData>
  <x:mergeCells>
    <x:mergeCell ref="A1:I1"/>
    <x:mergeCell ref="A3:I3"/>
    <x:mergeCell ref="A6:I6"/>
    <x:mergeCell ref="A8:B8"/>
    <x:mergeCell ref="A18:I19"/>
  </x:mergeCells>
  <x:conditionalFormatting sqref="C9:I15">
    <x:cfRule type="colorScale" priority="1">
      <x:colorScale>
        <x:cfvo type="min"/>
        <x:cfvo type="percentile" val="50"/>
        <x:cfvo type="max"/>
        <x:color rgb="FFFBE2E2"/>
        <x:color rgb="FFFFF9D8"/>
        <x:color rgb="FFDAF3E9"/>
      </x:colorScale>
    </x:cfRule>
  </x:conditionalFormatting>
  <x:pageMargins left="0.7" right="0.7" top="0.75" bottom="0.75" header="0.3" footer="0.3"/>
</x:worksheet>
</file>

<file path=xl/worksheets/sheet7.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42" hidden="0" customWidth="1"/>
    <x:col min="2" max="2" width="19" hidden="0" customWidth="1"/>
    <x:col min="3" max="3" width="19" hidden="0" customWidth="1"/>
    <x:col min="4" max="4" width="19" hidden="0" customWidth="1"/>
    <x:col min="5" max="5" width="19" hidden="0" customWidth="1"/>
    <x:col min="8" max="8" width="72" hidden="0" customWidth="1"/>
  </x:cols>
  <x:sheetData>
    <x:row r="1" ht="42" customHeight="1">
      <x:c r="A1" s="4" t="str">
        <x:v>ILLUSTRATIVE EQUITY TRANSACTION | NOT SILNA FINANCIALS</x:v>
      </x:c>
      <x:c r="B1" s="4"/>
      <x:c r="C1" s="4"/>
      <x:c r="D1" s="4"/>
      <x:c r="E1" s="4"/>
      <x:c r="F1" s="98"/>
      <x:c r="G1" s="98"/>
      <x:c r="H1" s="98"/>
    </x:row>
    <x:row r="3" ht="37" customHeight="1">
      <x:c r="A3" s="11" t="str">
        <x:v>ALL monetary values on this sheet are USD millions unless stated. No actual live round, private ARR, or capitalization data were obtained.</x:v>
      </x:c>
      <x:c r="B3" s="11"/>
      <x:c r="C3" s="11"/>
      <x:c r="D3" s="11"/>
      <x:c r="E3" s="11"/>
      <x:c r="F3" s="11"/>
      <x:c r="G3" s="11"/>
      <x:c r="H3" s="11"/>
    </x:row>
    <x:row r="8" ht="30" customHeight="1">
      <x:c r="A8" s="27" t="str">
        <x:v>Underwriting input</x:v>
      </x:c>
      <x:c r="B8" s="27" t="str">
        <x:v>Unit</x:v>
      </x:c>
      <x:c r="C8" s="27" t="str">
        <x:v>Downside</x:v>
      </x:c>
      <x:c r="D8" s="27" t="str">
        <x:v>Base</x:v>
      </x:c>
      <x:c r="E8" s="27" t="str">
        <x:v>Upside</x:v>
      </x:c>
      <x:c r="F8" s="27" t="str">
        <x:v>Classification</x:v>
      </x:c>
      <x:c r="G8" s="27" t="str">
        <x:v>Evidence anchor</x:v>
      </x:c>
      <x:c r="H8" s="27" t="str">
        <x:v>Meaning</x:v>
      </x:c>
    </x:row>
    <x:row r="9" ht="38" customHeight="1">
      <x:c r="A9" t="str">
        <x:v>Exit premoney m</x:v>
      </x:c>
      <x:c r="B9" t="str">
        <x:v>USD mm</x:v>
      </x:c>
      <x:c r="C9" s="92" t="n">
        <x:v>110</x:v>
      </x:c>
      <x:c r="D9" s="92" t="n">
        <x:v>80</x:v>
      </x:c>
      <x:c r="E9" s="92" t="n">
        <x:v>60</x:v>
      </x:c>
      <x:c r="F9" t="str">
        <x:v>Analyst assumption</x:v>
      </x:c>
      <x:c r="G9" t="str">
        <x:v>Unknown</x:v>
      </x:c>
      <x:c r="H9" t="str">
        <x:v>Hypothetical price before financing; NOT a Silna valuation</x:v>
      </x:c>
    </x:row>
    <x:row r="10" ht="38" customHeight="1">
      <x:c r="A10" t="str">
        <x:v>Round raise m</x:v>
      </x:c>
      <x:c r="B10" t="str">
        <x:v>USD mm</x:v>
      </x:c>
      <x:c r="C10" s="92" t="n">
        <x:v>30</x:v>
      </x:c>
      <x:c r="D10" s="92" t="n">
        <x:v>25</x:v>
      </x:c>
      <x:c r="E10" s="92" t="n">
        <x:v>20</x:v>
      </x:c>
      <x:c r="F10" t="str">
        <x:v>Analyst assumption</x:v>
      </x:c>
      <x:c r="G10" t="str">
        <x:v>Unknown</x:v>
      </x:c>
      <x:c r="H10" t="str">
        <x:v>Hypothetical total primary capital raised</x:v>
      </x:c>
    </x:row>
    <x:row r="11" ht="38" customHeight="1">
      <x:c r="A11" t="str">
        <x:v>Investor check m</x:v>
      </x:c>
      <x:c r="B11" t="str">
        <x:v>USD mm</x:v>
      </x:c>
      <x:c r="C11" s="92" t="n">
        <x:v>2</x:v>
      </x:c>
      <x:c r="D11" s="92" t="n">
        <x:v>2</x:v>
      </x:c>
      <x:c r="E11" s="92" t="n">
        <x:v>2</x:v>
      </x:c>
      <x:c r="F11" t="str">
        <x:v>Analyst assumption</x:v>
      </x:c>
      <x:c r="G11" t="str">
        <x:v>Unknown</x:v>
      </x:c>
      <x:c r="H11" t="str">
        <x:v>Illustrative Intermountain check, no mandate implied</x:v>
      </x:c>
    </x:row>
    <x:row r="12" ht="38" customHeight="1">
      <x:c r="A12" t="str">
        <x:v>Exit arr m</x:v>
      </x:c>
      <x:c r="B12" t="str">
        <x:v>USD mm</x:v>
      </x:c>
      <x:c r="C12" s="92" t="n">
        <x:v>30</x:v>
      </x:c>
      <x:c r="D12" s="92" t="n">
        <x:v>80</x:v>
      </x:c>
      <x:c r="E12" s="92" t="n">
        <x:v>160</x:v>
      </x:c>
      <x:c r="F12" t="str">
        <x:v>Analyst assumption</x:v>
      </x:c>
      <x:c r="G12" t="str">
        <x:v>Unknown</x:v>
      </x:c>
      <x:c r="H12" t="str">
        <x:v>Hypothetical future annual recurring revenue, NOT observed ARR</x:v>
      </x:c>
    </x:row>
    <x:row r="13" ht="38" customHeight="1">
      <x:c r="A13" t="str">
        <x:v>Exit rev multiple</x:v>
      </x:c>
      <x:c r="B13" t="str">
        <x:v>x</x:v>
      </x:c>
      <x:c r="C13" s="93" t="n">
        <x:v>3</x:v>
      </x:c>
      <x:c r="D13" s="93" t="n">
        <x:v>6</x:v>
      </x:c>
      <x:c r="E13" s="93" t="n">
        <x:v>9</x:v>
      </x:c>
      <x:c r="F13" t="str">
        <x:v>Analyst assumption</x:v>
      </x:c>
      <x:c r="G13" t="str">
        <x:v>Unknown</x:v>
      </x:c>
      <x:c r="H13" t="str">
        <x:v>Exit EV / ARR used for sensitivity, not derived from public comps</x:v>
      </x:c>
    </x:row>
    <x:row r="14" ht="38" customHeight="1">
      <x:c r="A14" t="str">
        <x:v>Ownership dilution</x:v>
      </x:c>
      <x:c r="B14" t="str">
        <x:v>share</x:v>
      </x:c>
      <x:c r="C14" s="43" t="n">
        <x:v>0.5</x:v>
      </x:c>
      <x:c r="D14" s="43" t="n">
        <x:v>0.35</x:v>
      </x:c>
      <x:c r="E14" s="43" t="n">
        <x:v>0.25</x:v>
      </x:c>
      <x:c r="F14" t="str">
        <x:v>Analyst assumption</x:v>
      </x:c>
      <x:c r="G14" t="str">
        <x:v>Unknown</x:v>
      </x:c>
      <x:c r="H14" t="str">
        <x:v>Cumulative post-entry dilution, including follow-on and option issuance</x:v>
      </x:c>
    </x:row>
    <x:row r="15" ht="38" customHeight="1">
      <x:c r="A15" t="str">
        <x:v>Hold years</x:v>
      </x:c>
      <x:c r="B15" t="str">
        <x:v>years</x:v>
      </x:c>
      <x:c r="C15" s="42" t="n">
        <x:v>6</x:v>
      </x:c>
      <x:c r="D15" s="42" t="n">
        <x:v>6</x:v>
      </x:c>
      <x:c r="E15" s="42" t="n">
        <x:v>6</x:v>
      </x:c>
      <x:c r="F15" t="str">
        <x:v>Analyst assumption</x:v>
      </x:c>
      <x:c r="G15" t="str">
        <x:v>Unknown</x:v>
      </x:c>
      <x:c r="H15" t="str">
        <x:v>Modeled hold length to exit</x:v>
      </x:c>
    </x:row>
    <x:row r="16" ht="38" customHeight="1">
      <x:c r="A16" t="str">
        <x:v>Equity value factor</x:v>
      </x:c>
      <x:c r="B16" t="str">
        <x:v>share</x:v>
      </x:c>
      <x:c r="C16" s="43" t="n">
        <x:v>1</x:v>
      </x:c>
      <x:c r="D16" s="43" t="n">
        <x:v>1</x:v>
      </x:c>
      <x:c r="E16" s="43" t="n">
        <x:v>1</x:v>
      </x:c>
      <x:c r="F16" t="str">
        <x:v>Analyst assumption</x:v>
      </x:c>
      <x:c r="G16" t="str">
        <x:v>Unknown</x:v>
      </x:c>
      <x:c r="H16" t="str">
        <x:v>Assumes enterprise value converts fully to equity, zero net debt and no preferences</x:v>
      </x:c>
    </x:row>
    <x:row r="19" ht="26" customHeight="1">
      <x:c r="A19" s="17" t="str">
        <x:v>IMPORTANT LIMITATIONS</x:v>
      </x:c>
      <x:c r="B19" s="17"/>
      <x:c r="C19" s="17"/>
      <x:c r="D19" s="17"/>
      <x:c r="E19" s="17"/>
      <x:c r="F19" s="17"/>
      <x:c r="G19" s="17"/>
      <x:c r="H19" s="17"/>
    </x:row>
    <x:row r="20" ht="35" customHeight="1">
      <x:c r="A20" s="20" t="str">
        <x:v>No management interviews, financial statements, cap table, debt, participating preferred, pro-rata rights, liquidation preferences or current company funding terms.</x:v>
      </x:c>
      <x:c r="B20" s="20"/>
      <x:c r="C20" s="20"/>
      <x:c r="D20" s="20"/>
      <x:c r="E20" s="20"/>
      <x:c r="F20" s="20"/>
      <x:c r="G20" s="20"/>
      <x:c r="H20" s="20"/>
    </x:row>
    <x:row r="22" ht="35" customHeight="1">
      <x:c r="A22" s="20" t="str">
        <x:v>Enterprise-to-equity conversion factor at 100% is a simplifying assumption, not a representation of cash and debt at exit.</x:v>
      </x:c>
      <x:c r="B22" s="20"/>
      <x:c r="C22" s="20"/>
      <x:c r="D22" s="20"/>
      <x:c r="E22" s="20"/>
      <x:c r="F22" s="20"/>
      <x:c r="G22" s="20"/>
      <x:c r="H22" s="20"/>
    </x:row>
    <x:row r="24" ht="35" customHeight="1">
      <x:c r="A24" s="20" t="str">
        <x:v>Exit revenue multiples of 3x / 6x / 9x are sensitivity inputs. No current market median or Silna-specific ARR multiple is claimed.</x:v>
      </x:c>
      <x:c r="B24" s="20"/>
      <x:c r="C24" s="20"/>
      <x:c r="D24" s="20"/>
      <x:c r="E24" s="20"/>
      <x:c r="F24" s="20"/>
      <x:c r="G24" s="20"/>
      <x:c r="H24" s="20"/>
    </x:row>
  </x:sheetData>
  <x:mergeCells>
    <x:mergeCell ref="A1:H1"/>
    <x:mergeCell ref="A3:H3"/>
    <x:mergeCell ref="A19:H19"/>
    <x:mergeCell ref="A20:H20"/>
    <x:mergeCell ref="A22:H22"/>
    <x:mergeCell ref="A24:H24"/>
  </x:mergeCells>
  <x:pageMargins left="0.7" right="0.7" top="0.75" bottom="0.75" header="0.3" footer="0.3"/>
</x:worksheet>
</file>

<file path=xl/worksheets/sheet8.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59" hidden="0" customWidth="1"/>
    <x:col min="2" max="2" width="19" hidden="0" customWidth="1"/>
    <x:col min="3" max="3" width="19" hidden="0" customWidth="1"/>
    <x:col min="4" max="4" width="19" hidden="0" customWidth="1"/>
    <x:col min="5" max="5" width="19" hidden="0" customWidth="1"/>
  </x:cols>
  <x:sheetData>
    <x:row r="1" ht="42" customHeight="1">
      <x:c r="A1" s="4" t="str">
        <x:v>VENTURE MATH | PRE-MONEY TO EXIT</x:v>
      </x:c>
      <x:c r="B1" s="4"/>
      <x:c r="C1" s="4"/>
      <x:c r="D1" s="4"/>
      <x:c r="E1" s="4"/>
      <x:c r="F1" s="4"/>
    </x:row>
    <x:row r="3" ht="37" customHeight="1">
      <x:c r="A3" s="11" t="str">
        <x:v>Stylized gross equity return for a single check at a hypothetical price. Does not reflect preferred stock economics, recycling or fees.</x:v>
      </x:c>
      <x:c r="B3" s="11"/>
      <x:c r="C3" s="11"/>
      <x:c r="D3" s="11"/>
      <x:c r="E3" s="11"/>
      <x:c r="F3" s="11"/>
    </x:row>
    <x:row r="8" ht="30" customHeight="1">
      <x:c r="A8" s="27" t="str">
        <x:v>Metric / units</x:v>
      </x:c>
      <x:c r="B8" s="27" t="str">
        <x:v>Downside</x:v>
      </x:c>
      <x:c r="C8" s="27" t="str">
        <x:v>Base</x:v>
      </x:c>
      <x:c r="D8" s="27" t="str">
        <x:v>Upside</x:v>
      </x:c>
    </x:row>
    <x:row r="9">
      <x:c r="A9" t="str">
        <x:v>Pre-money valuation ($mm)</x:v>
      </x:c>
      <x:c r="B9" s="100" t="n">
        <x:f>'VENTURE INPUTS'!C9</x:f>
        <x:v>110</x:v>
      </x:c>
      <x:c r="C9" s="100" t="n">
        <x:f>'VENTURE INPUTS'!D9</x:f>
        <x:v>80</x:v>
      </x:c>
      <x:c r="D9" s="100" t="n">
        <x:f>'VENTURE INPUTS'!E9</x:f>
        <x:v>60</x:v>
      </x:c>
    </x:row>
    <x:row r="10">
      <x:c r="A10" t="str">
        <x:v>Total capital raised ($mm)</x:v>
      </x:c>
      <x:c r="B10" s="100" t="n">
        <x:f>'VENTURE INPUTS'!C10</x:f>
        <x:v>30</x:v>
      </x:c>
      <x:c r="C10" s="100" t="n">
        <x:f>'VENTURE INPUTS'!D10</x:f>
        <x:v>25</x:v>
      </x:c>
      <x:c r="D10" s="100" t="n">
        <x:f>'VENTURE INPUTS'!E10</x:f>
        <x:v>20</x:v>
      </x:c>
    </x:row>
    <x:row r="11" ht="26" customHeight="1">
      <x:c r="A11" s="71" t="str">
        <x:v>Post-money valuation ($mm)</x:v>
      </x:c>
      <x:c r="B11" s="105" t="n">
        <x:f>SUM(B9:B10)</x:f>
        <x:v>140</x:v>
      </x:c>
      <x:c r="C11" s="105" t="n">
        <x:f>SUM(C9:C10)</x:f>
        <x:v>105</x:v>
      </x:c>
      <x:c r="D11" s="105" t="n">
        <x:f>SUM(D9:D10)</x:f>
        <x:v>80</x:v>
      </x:c>
    </x:row>
    <x:row r="12">
      <x:c r="A12" t="str">
        <x:v>Initial investor check ($mm)</x:v>
      </x:c>
      <x:c r="B12" s="100" t="n">
        <x:f>'VENTURE INPUTS'!C11</x:f>
        <x:v>2</x:v>
      </x:c>
      <x:c r="C12" s="100" t="n">
        <x:f>'VENTURE INPUTS'!D11</x:f>
        <x:v>2</x:v>
      </x:c>
      <x:c r="D12" s="100" t="n">
        <x:f>'VENTURE INPUTS'!E11</x:f>
        <x:v>2</x:v>
      </x:c>
    </x:row>
    <x:row r="13">
      <x:c r="A13" t="str">
        <x:v>Initial ownership (%)</x:v>
      </x:c>
      <x:c r="B13" s="32" t="n">
        <x:f>IFERROR(B12/B11,0)</x:f>
        <x:v>0.014285714285714285</x:v>
      </x:c>
      <x:c r="C13" s="32" t="n">
        <x:f>IFERROR(C12/C11,0)</x:f>
        <x:v>0.01904761904761905</x:v>
      </x:c>
      <x:c r="D13" s="32" t="n">
        <x:f>IFERROR(D12/D11,0)</x:f>
        <x:v>0.025</x:v>
      </x:c>
    </x:row>
    <x:row r="14">
      <x:c r="A14" t="str">
        <x:v>Cumulative dilution before exit (%)</x:v>
      </x:c>
      <x:c r="B14" s="78" t="n">
        <x:f>'VENTURE INPUTS'!C14</x:f>
        <x:v>0.5</x:v>
      </x:c>
      <x:c r="C14" s="78" t="n">
        <x:f>'VENTURE INPUTS'!D14</x:f>
        <x:v>0.35</x:v>
      </x:c>
      <x:c r="D14" s="78" t="n">
        <x:f>'VENTURE INPUTS'!E14</x:f>
        <x:v>0.25</x:v>
      </x:c>
    </x:row>
    <x:row r="15" ht="26" customHeight="1">
      <x:c r="A15" s="71" t="str">
        <x:v>Fully diluted ownership at exit (%)</x:v>
      </x:c>
      <x:c r="B15" s="109" t="n">
        <x:f>B13*(1-B14)</x:f>
        <x:v>0.007142857142857143</x:v>
      </x:c>
      <x:c r="C15" s="109" t="n">
        <x:f>C13*(1-C14)</x:f>
        <x:v>0.012380952380952383</x:v>
      </x:c>
      <x:c r="D15" s="109" t="n">
        <x:f>D13*(1-D14)</x:f>
        <x:v>0.018750000000000003</x:v>
      </x:c>
    </x:row>
    <x:row r="16">
      <x:c r="A16" t="str">
        <x:v>Future exit ARR ($mm)</x:v>
      </x:c>
      <x:c r="B16" s="100" t="n">
        <x:f>'VENTURE INPUTS'!C12</x:f>
        <x:v>30</x:v>
      </x:c>
      <x:c r="C16" s="100" t="n">
        <x:f>'VENTURE INPUTS'!D12</x:f>
        <x:v>80</x:v>
      </x:c>
      <x:c r="D16" s="100" t="n">
        <x:f>'VENTURE INPUTS'!E12</x:f>
        <x:v>160</x:v>
      </x:c>
    </x:row>
    <x:row r="17">
      <x:c r="A17" t="str">
        <x:v>Exit enterprise value / ARR (x)</x:v>
      </x:c>
      <x:c r="B17" s="102" t="n">
        <x:f>'VENTURE INPUTS'!C13</x:f>
        <x:v>3</x:v>
      </x:c>
      <x:c r="C17" s="102" t="n">
        <x:f>'VENTURE INPUTS'!D13</x:f>
        <x:v>6</x:v>
      </x:c>
      <x:c r="D17" s="102" t="n">
        <x:f>'VENTURE INPUTS'!E13</x:f>
        <x:v>9</x:v>
      </x:c>
    </x:row>
    <x:row r="18">
      <x:c r="A18" t="str">
        <x:v>Exit enterprise value ($mm)</x:v>
      </x:c>
      <x:c r="B18" s="88" t="n">
        <x:f>B16*B17</x:f>
        <x:v>90</x:v>
      </x:c>
      <x:c r="C18" s="88" t="n">
        <x:f>C16*C17</x:f>
        <x:v>480</x:v>
      </x:c>
      <x:c r="D18" s="88" t="n">
        <x:f>D16*D17</x:f>
        <x:v>1440</x:v>
      </x:c>
    </x:row>
    <x:row r="19">
      <x:c r="A19" t="str">
        <x:v>Enterprise to equity conversion (%)</x:v>
      </x:c>
      <x:c r="B19" s="78" t="n">
        <x:f>'VENTURE INPUTS'!C16</x:f>
        <x:v>1</x:v>
      </x:c>
      <x:c r="C19" s="78" t="n">
        <x:f>'VENTURE INPUTS'!D16</x:f>
        <x:v>1</x:v>
      </x:c>
      <x:c r="D19" s="78" t="n">
        <x:f>'VENTURE INPUTS'!E16</x:f>
        <x:v>1</x:v>
      </x:c>
    </x:row>
    <x:row r="20">
      <x:c r="A20" t="str">
        <x:v>Exit equity value ($mm)</x:v>
      </x:c>
      <x:c r="B20" s="88" t="n">
        <x:f>B18*B19</x:f>
        <x:v>90</x:v>
      </x:c>
      <x:c r="C20" s="88" t="n">
        <x:f>C18*C19</x:f>
        <x:v>480</x:v>
      </x:c>
      <x:c r="D20" s="88" t="n">
        <x:f>D18*D19</x:f>
        <x:v>1440</x:v>
      </x:c>
    </x:row>
    <x:row r="21" ht="26" customHeight="1">
      <x:c r="A21" s="71" t="str">
        <x:v>Gross investor exit proceeds ($mm)</x:v>
      </x:c>
      <x:c r="B21" s="105" t="n">
        <x:f>B20*B15</x:f>
        <x:v>0.6428571428571428</x:v>
      </x:c>
      <x:c r="C21" s="105" t="n">
        <x:f>C20*C15</x:f>
        <x:v>5.942857142857144</x:v>
      </x:c>
      <x:c r="D21" s="105" t="n">
        <x:f>D20*D15</x:f>
        <x:v>27.000000000000004</x:v>
      </x:c>
    </x:row>
    <x:row r="22" ht="26" customHeight="1">
      <x:c r="A22" s="71" t="str">
        <x:v>Gross MOIC (x)</x:v>
      </x:c>
      <x:c r="B22" s="113" t="n">
        <x:f>IFERROR(B21/B12,0)</x:f>
        <x:v>0.3214285714285714</x:v>
      </x:c>
      <x:c r="C22" s="113" t="n">
        <x:f>IFERROR(C21/C12,0)</x:f>
        <x:v>2.971428571428572</x:v>
      </x:c>
      <x:c r="D22" s="113" t="n">
        <x:f>IFERROR(D21/D12,0)</x:f>
        <x:v>13.500000000000002</x:v>
      </x:c>
    </x:row>
    <x:row r="23" ht="26" customHeight="1">
      <x:c r="A23" s="71" t="str">
        <x:v>Gross annualized IRR (%)</x:v>
      </x:c>
      <x:c r="B23" s="109" t="n">
        <x:f>IFERROR(B22^(1/B25)-1,0)</x:f>
        <x:v>-0.17234867812922494</x:v>
      </x:c>
      <x:c r="C23" s="109" t="n">
        <x:f>IFERROR(C22^(1/C25)-1,0)</x:f>
        <x:v>0.1990230972348428</x:v>
      </x:c>
      <x:c r="D23" s="109" t="n">
        <x:f>IFERROR(D22^(1/D25)-1,0)</x:f>
        <x:v>0.5430818442170522</x:v>
      </x:c>
    </x:row>
    <x:row r="24">
      <x:c r="A24" t="str">
        <x:v>Investment gain / loss ($mm)</x:v>
      </x:c>
      <x:c r="B24" s="88" t="n">
        <x:f>B21-B12</x:f>
        <x:v>-1.3571428571428572</x:v>
      </x:c>
      <x:c r="C24" s="88" t="n">
        <x:f>C21-C12</x:f>
        <x:v>3.942857142857144</x:v>
      </x:c>
      <x:c r="D24" s="88" t="n">
        <x:f>D21-D12</x:f>
        <x:v>25.000000000000004</x:v>
      </x:c>
    </x:row>
    <x:row r="25">
      <x:c r="A25" t="str">
        <x:v>Years held (#)</x:v>
      </x:c>
      <x:c r="B25" s="64" t="n">
        <x:f>'VENTURE INPUTS'!C15</x:f>
        <x:v>6</x:v>
      </x:c>
      <x:c r="C25" s="64" t="n">
        <x:f>'VENTURE INPUTS'!D15</x:f>
        <x:v>6</x:v>
      </x:c>
      <x:c r="D25" s="64" t="n">
        <x:f>'VENTURE INPUTS'!E15</x:f>
        <x:v>6</x:v>
      </x:c>
    </x:row>
    <x:row r="26">
      <x:c r="A26" t="str">
        <x:v>Equity value needed for 3.0x investor MOIC ($mm)</x:v>
      </x:c>
      <x:c r="B26" s="88" t="n">
        <x:f>IFERROR(B12*3/B15,0)</x:f>
        <x:v>840</x:v>
      </x:c>
      <x:c r="C26" s="88" t="n">
        <x:f>IFERROR(C12*3/C15,0)</x:f>
        <x:v>484.6153846153845</x:v>
      </x:c>
      <x:c r="D26" s="88" t="n">
        <x:f>IFERROR(D12*3/D15,0)</x:f>
        <x:v>319.99999999999994</x:v>
      </x:c>
    </x:row>
    <x:row r="27">
      <x:c r="A27" t="str">
        <x:v>Exit ARR needed for 3.0x investor MOIC ($mm)</x:v>
      </x:c>
      <x:c r="B27" s="88" t="n">
        <x:f>IFERROR(B26/(B17*B19),0)</x:f>
        <x:v>280</x:v>
      </x:c>
      <x:c r="C27" s="88" t="n">
        <x:f>IFERROR(C26/(C17*C19),0)</x:f>
        <x:v>80.76923076923076</x:v>
      </x:c>
      <x:c r="D27" s="88" t="n">
        <x:f>IFERROR(D26/(D17*D19),0)</x:f>
        <x:v>35.55555555555555</x:v>
      </x:c>
    </x:row>
    <x:row r="30">
      <x:c r="A30" s="20" t="str">
        <x:v>Do not call these company expected returns: ARR, cap table, exit debt, exit year and entry price are not verified. A downside MOIC below 1x is possible even with product-market fit.</x:v>
      </x:c>
      <x:c r="B30" s="20"/>
      <x:c r="C30" s="20"/>
      <x:c r="D30" s="20"/>
      <x:c r="E30" s="20"/>
      <x:c r="F30" s="20"/>
    </x:row>
    <x:row r="31">
      <x:c r="A31" s="20"/>
      <x:c r="B31" s="20"/>
      <x:c r="C31" s="20"/>
      <x:c r="D31" s="20"/>
      <x:c r="E31" s="20"/>
      <x:c r="F31" s="20"/>
    </x:row>
  </x:sheetData>
  <x:mergeCells>
    <x:mergeCell ref="A1:F1"/>
    <x:mergeCell ref="A3:F3"/>
    <x:mergeCell ref="A30:F31"/>
  </x:mergeCells>
  <x:pageMargins left="0.7" right="0.7" top="0.75" bottom="0.75" header="0.3" footer="0.3"/>
</x:worksheet>
</file>

<file path=xl/worksheets/sheet9.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15" hidden="0" customWidth="1"/>
    <x:col min="2" max="2" width="26"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42" customHeight="1">
      <x:c r="A1" s="4" t="str">
        <x:v>BASE CHECK | EXIT REVENUE AND MULTIPLE</x:v>
      </x:c>
      <x:c r="B1" s="4"/>
      <x:c r="C1" s="4"/>
      <x:c r="D1" s="4"/>
      <x:c r="E1" s="4"/>
      <x:c r="F1" s="4"/>
      <x:c r="G1" s="4"/>
      <x:c r="H1" s="4"/>
      <x:c r="I1" s="4"/>
    </x:row>
    <x:row r="3" ht="37" customHeight="1">
      <x:c r="A3" s="11" t="str">
        <x:v>Cells are gross MOIC for the hypothetical base investment. This is a reverse-underwriting exercise, not a public comparable-company multiple table.</x:v>
      </x:c>
      <x:c r="B3" s="11"/>
      <x:c r="C3" s="11"/>
      <x:c r="D3" s="11"/>
      <x:c r="E3" s="11"/>
      <x:c r="F3" s="11"/>
      <x:c r="G3" s="11"/>
      <x:c r="H3" s="11"/>
      <x:c r="I3" s="11"/>
    </x:row>
    <x:row r="8" ht="30" customHeight="1">
      <x:c r="A8" s="27" t="str">
        <x:v>Exit ARR ($mm) / EV to ARR</x:v>
      </x:c>
      <x:c r="B8" s="27" t="n">
        <x:v>2</x:v>
      </x:c>
      <x:c r="C8" s="116" t="n">
        <x:v>3</x:v>
      </x:c>
      <x:c r="D8" s="116" t="n">
        <x:v>4</x:v>
      </x:c>
      <x:c r="E8" s="116" t="n">
        <x:v>5</x:v>
      </x:c>
      <x:c r="F8" s="116" t="n">
        <x:v>6</x:v>
      </x:c>
      <x:c r="G8" s="116" t="n">
        <x:v>7</x:v>
      </x:c>
      <x:c r="H8" s="116" t="n">
        <x:v>8</x:v>
      </x:c>
      <x:c r="I8" s="116"/>
    </x:row>
    <x:row r="9">
      <x:c r="B9" s="88" t="n">
        <x:v>20</x:v>
      </x:c>
      <x:c r="C9" s="66" t="n">
        <x:f>IFERROR(($B9*C$8*'VENTURE RETURNS'!$C$15*'VENTURE RETURNS'!$C$19)/'VENTURE RETURNS'!$C$12,0)</x:f>
        <x:v>0.3714285714285715</x:v>
      </x:c>
      <x:c r="D9" s="66" t="n">
        <x:f>IFERROR(($B9*D$8*'VENTURE RETURNS'!$C$15*'VENTURE RETURNS'!$C$19)/'VENTURE RETURNS'!$C$12,0)</x:f>
        <x:v>0.4952380952380953</x:v>
      </x:c>
      <x:c r="E9" s="66" t="n">
        <x:f>IFERROR(($B9*E$8*'VENTURE RETURNS'!$C$15*'VENTURE RETURNS'!$C$19)/'VENTURE RETURNS'!$C$12,0)</x:f>
        <x:v>0.6190476190476192</x:v>
      </x:c>
      <x:c r="F9" s="66" t="n">
        <x:f>IFERROR(($B9*F$8*'VENTURE RETURNS'!$C$15*'VENTURE RETURNS'!$C$19)/'VENTURE RETURNS'!$C$12,0)</x:f>
        <x:v>0.742857142857143</x:v>
      </x:c>
      <x:c r="G9" s="66" t="n">
        <x:f>IFERROR(($B9*G$8*'VENTURE RETURNS'!$C$15*'VENTURE RETURNS'!$C$19)/'VENTURE RETURNS'!$C$12,0)</x:f>
        <x:v>0.8666666666666668</x:v>
      </x:c>
      <x:c r="H9" s="66" t="n">
        <x:f>IFERROR(($B9*H$8*'VENTURE RETURNS'!$C$15*'VENTURE RETURNS'!$C$19)/'VENTURE RETURNS'!$C$12,0)</x:f>
        <x:v>0.9904761904761906</x:v>
      </x:c>
      <x:c r="I9" s="66" t="n">
        <x:f>IFERROR(($B9*I$8*'VENTURE RETURNS'!$C$15*'VENTURE RETURNS'!$C$19)/'VENTURE RETURNS'!$C$12,0)</x:f>
        <x:v>0</x:v>
      </x:c>
    </x:row>
    <x:row r="10">
      <x:c r="B10" s="88" t="n">
        <x:v>40</x:v>
      </x:c>
      <x:c r="C10" s="66" t="n">
        <x:f>IFERROR(($B10*C$8*'VENTURE RETURNS'!$C$15*'VENTURE RETURNS'!$C$19)/'VENTURE RETURNS'!$C$12,0)</x:f>
        <x:v>0.742857142857143</x:v>
      </x:c>
      <x:c r="D10" s="66" t="n">
        <x:f>IFERROR(($B10*D$8*'VENTURE RETURNS'!$C$15*'VENTURE RETURNS'!$C$19)/'VENTURE RETURNS'!$C$12,0)</x:f>
        <x:v>0.9904761904761906</x:v>
      </x:c>
      <x:c r="E10" s="66" t="n">
        <x:f>IFERROR(($B10*E$8*'VENTURE RETURNS'!$C$15*'VENTURE RETURNS'!$C$19)/'VENTURE RETURNS'!$C$12,0)</x:f>
        <x:v>1.2380952380952384</x:v>
      </x:c>
      <x:c r="F10" s="66" t="n">
        <x:f>IFERROR(($B10*F$8*'VENTURE RETURNS'!$C$15*'VENTURE RETURNS'!$C$19)/'VENTURE RETURNS'!$C$12,0)</x:f>
        <x:v>1.485714285714286</x:v>
      </x:c>
      <x:c r="G10" s="66" t="n">
        <x:f>IFERROR(($B10*G$8*'VENTURE RETURNS'!$C$15*'VENTURE RETURNS'!$C$19)/'VENTURE RETURNS'!$C$12,0)</x:f>
        <x:v>1.7333333333333336</x:v>
      </x:c>
      <x:c r="H10" s="66" t="n">
        <x:f>IFERROR(($B10*H$8*'VENTURE RETURNS'!$C$15*'VENTURE RETURNS'!$C$19)/'VENTURE RETURNS'!$C$12,0)</x:f>
        <x:v>1.9809523809523812</x:v>
      </x:c>
      <x:c r="I10" s="66" t="n">
        <x:f>IFERROR(($B10*I$8*'VENTURE RETURNS'!$C$15*'VENTURE RETURNS'!$C$19)/'VENTURE RETURNS'!$C$12,0)</x:f>
        <x:v>0</x:v>
      </x:c>
    </x:row>
    <x:row r="11">
      <x:c r="B11" s="88" t="n">
        <x:v>60</x:v>
      </x:c>
      <x:c r="C11" s="66" t="n">
        <x:f>IFERROR(($B11*C$8*'VENTURE RETURNS'!$C$15*'VENTURE RETURNS'!$C$19)/'VENTURE RETURNS'!$C$12,0)</x:f>
        <x:v>1.1142857142857145</x:v>
      </x:c>
      <x:c r="D11" s="66" t="n">
        <x:f>IFERROR(($B11*D$8*'VENTURE RETURNS'!$C$15*'VENTURE RETURNS'!$C$19)/'VENTURE RETURNS'!$C$12,0)</x:f>
        <x:v>1.485714285714286</x:v>
      </x:c>
      <x:c r="E11" s="66" t="n">
        <x:f>IFERROR(($B11*E$8*'VENTURE RETURNS'!$C$15*'VENTURE RETURNS'!$C$19)/'VENTURE RETURNS'!$C$12,0)</x:f>
        <x:v>1.8571428571428574</x:v>
      </x:c>
      <x:c r="F11" s="66" t="n">
        <x:f>IFERROR(($B11*F$8*'VENTURE RETURNS'!$C$15*'VENTURE RETURNS'!$C$19)/'VENTURE RETURNS'!$C$12,0)</x:f>
        <x:v>2.228571428571429</x:v>
      </x:c>
      <x:c r="G11" s="66" t="n">
        <x:f>IFERROR(($B11*G$8*'VENTURE RETURNS'!$C$15*'VENTURE RETURNS'!$C$19)/'VENTURE RETURNS'!$C$12,0)</x:f>
        <x:v>2.6000000000000005</x:v>
      </x:c>
      <x:c r="H11" s="66" t="n">
        <x:f>IFERROR(($B11*H$8*'VENTURE RETURNS'!$C$15*'VENTURE RETURNS'!$C$19)/'VENTURE RETURNS'!$C$12,0)</x:f>
        <x:v>2.971428571428572</x:v>
      </x:c>
      <x:c r="I11" s="66" t="n">
        <x:f>IFERROR(($B11*I$8*'VENTURE RETURNS'!$C$15*'VENTURE RETURNS'!$C$19)/'VENTURE RETURNS'!$C$12,0)</x:f>
        <x:v>0</x:v>
      </x:c>
    </x:row>
    <x:row r="12">
      <x:c r="B12" s="88" t="n">
        <x:v>80</x:v>
      </x:c>
      <x:c r="C12" s="66" t="n">
        <x:f>IFERROR(($B12*C$8*'VENTURE RETURNS'!$C$15*'VENTURE RETURNS'!$C$19)/'VENTURE RETURNS'!$C$12,0)</x:f>
        <x:v>1.485714285714286</x:v>
      </x:c>
      <x:c r="D12" s="66" t="n">
        <x:f>IFERROR(($B12*D$8*'VENTURE RETURNS'!$C$15*'VENTURE RETURNS'!$C$19)/'VENTURE RETURNS'!$C$12,0)</x:f>
        <x:v>1.9809523809523812</x:v>
      </x:c>
      <x:c r="E12" s="66" t="n">
        <x:f>IFERROR(($B12*E$8*'VENTURE RETURNS'!$C$15*'VENTURE RETURNS'!$C$19)/'VENTURE RETURNS'!$C$12,0)</x:f>
        <x:v>2.4761904761904767</x:v>
      </x:c>
      <x:c r="F12" s="66" t="n">
        <x:f>IFERROR(($B12*F$8*'VENTURE RETURNS'!$C$15*'VENTURE RETURNS'!$C$19)/'VENTURE RETURNS'!$C$12,0)</x:f>
        <x:v>2.971428571428572</x:v>
      </x:c>
      <x:c r="G12" s="66" t="n">
        <x:f>IFERROR(($B12*G$8*'VENTURE RETURNS'!$C$15*'VENTURE RETURNS'!$C$19)/'VENTURE RETURNS'!$C$12,0)</x:f>
        <x:v>3.4666666666666672</x:v>
      </x:c>
      <x:c r="H12" s="66" t="n">
        <x:f>IFERROR(($B12*H$8*'VENTURE RETURNS'!$C$15*'VENTURE RETURNS'!$C$19)/'VENTURE RETURNS'!$C$12,0)</x:f>
        <x:v>3.9619047619047625</x:v>
      </x:c>
      <x:c r="I12" s="66" t="n">
        <x:f>IFERROR(($B12*I$8*'VENTURE RETURNS'!$C$15*'VENTURE RETURNS'!$C$19)/'VENTURE RETURNS'!$C$12,0)</x:f>
        <x:v>0</x:v>
      </x:c>
    </x:row>
    <x:row r="13">
      <x:c r="B13" s="88" t="n">
        <x:v>100</x:v>
      </x:c>
      <x:c r="C13" s="66" t="n">
        <x:f>IFERROR(($B13*C$8*'VENTURE RETURNS'!$C$15*'VENTURE RETURNS'!$C$19)/'VENTURE RETURNS'!$C$12,0)</x:f>
        <x:v>1.8571428571428574</x:v>
      </x:c>
      <x:c r="D13" s="66" t="n">
        <x:f>IFERROR(($B13*D$8*'VENTURE RETURNS'!$C$15*'VENTURE RETURNS'!$C$19)/'VENTURE RETURNS'!$C$12,0)</x:f>
        <x:v>2.4761904761904767</x:v>
      </x:c>
      <x:c r="E13" s="66" t="n">
        <x:f>IFERROR(($B13*E$8*'VENTURE RETURNS'!$C$15*'VENTURE RETURNS'!$C$19)/'VENTURE RETURNS'!$C$12,0)</x:f>
        <x:v>3.095238095238096</x:v>
      </x:c>
      <x:c r="F13" s="66" t="n">
        <x:f>IFERROR(($B13*F$8*'VENTURE RETURNS'!$C$15*'VENTURE RETURNS'!$C$19)/'VENTURE RETURNS'!$C$12,0)</x:f>
        <x:v>3.714285714285715</x:v>
      </x:c>
      <x:c r="G13" s="66" t="n">
        <x:f>IFERROR(($B13*G$8*'VENTURE RETURNS'!$C$15*'VENTURE RETURNS'!$C$19)/'VENTURE RETURNS'!$C$12,0)</x:f>
        <x:v>4.333333333333334</x:v>
      </x:c>
      <x:c r="H13" s="66" t="n">
        <x:f>IFERROR(($B13*H$8*'VENTURE RETURNS'!$C$15*'VENTURE RETURNS'!$C$19)/'VENTURE RETURNS'!$C$12,0)</x:f>
        <x:v>4.952380952380953</x:v>
      </x:c>
      <x:c r="I13" s="66" t="n">
        <x:f>IFERROR(($B13*I$8*'VENTURE RETURNS'!$C$15*'VENTURE RETURNS'!$C$19)/'VENTURE RETURNS'!$C$12,0)</x:f>
        <x:v>0</x:v>
      </x:c>
    </x:row>
    <x:row r="14">
      <x:c r="B14" s="88" t="n">
        <x:v>120</x:v>
      </x:c>
      <x:c r="C14" s="66" t="n">
        <x:f>IFERROR(($B14*C$8*'VENTURE RETURNS'!$C$15*'VENTURE RETURNS'!$C$19)/'VENTURE RETURNS'!$C$12,0)</x:f>
        <x:v>2.228571428571429</x:v>
      </x:c>
      <x:c r="D14" s="66" t="n">
        <x:f>IFERROR(($B14*D$8*'VENTURE RETURNS'!$C$15*'VENTURE RETURNS'!$C$19)/'VENTURE RETURNS'!$C$12,0)</x:f>
        <x:v>2.971428571428572</x:v>
      </x:c>
      <x:c r="E14" s="66" t="n">
        <x:f>IFERROR(($B14*E$8*'VENTURE RETURNS'!$C$15*'VENTURE RETURNS'!$C$19)/'VENTURE RETURNS'!$C$12,0)</x:f>
        <x:v>3.714285714285715</x:v>
      </x:c>
      <x:c r="F14" s="66" t="n">
        <x:f>IFERROR(($B14*F$8*'VENTURE RETURNS'!$C$15*'VENTURE RETURNS'!$C$19)/'VENTURE RETURNS'!$C$12,0)</x:f>
        <x:v>4.457142857142858</x:v>
      </x:c>
      <x:c r="G14" s="66" t="n">
        <x:f>IFERROR(($B14*G$8*'VENTURE RETURNS'!$C$15*'VENTURE RETURNS'!$C$19)/'VENTURE RETURNS'!$C$12,0)</x:f>
        <x:v>5.200000000000001</x:v>
      </x:c>
      <x:c r="H14" s="66" t="n">
        <x:f>IFERROR(($B14*H$8*'VENTURE RETURNS'!$C$15*'VENTURE RETURNS'!$C$19)/'VENTURE RETURNS'!$C$12,0)</x:f>
        <x:v>5.942857142857144</x:v>
      </x:c>
      <x:c r="I14" s="66" t="n">
        <x:f>IFERROR(($B14*I$8*'VENTURE RETURNS'!$C$15*'VENTURE RETURNS'!$C$19)/'VENTURE RETURNS'!$C$12,0)</x:f>
        <x:v>0</x:v>
      </x:c>
    </x:row>
    <x:row r="15">
      <x:c r="B15" s="88" t="n">
        <x:v>160</x:v>
      </x:c>
      <x:c r="C15" s="66" t="n">
        <x:f>IFERROR(($B15*C$8*'VENTURE RETURNS'!$C$15*'VENTURE RETURNS'!$C$19)/'VENTURE RETURNS'!$C$12,0)</x:f>
        <x:v>2.971428571428572</x:v>
      </x:c>
      <x:c r="D15" s="66" t="n">
        <x:f>IFERROR(($B15*D$8*'VENTURE RETURNS'!$C$15*'VENTURE RETURNS'!$C$19)/'VENTURE RETURNS'!$C$12,0)</x:f>
        <x:v>3.9619047619047625</x:v>
      </x:c>
      <x:c r="E15" s="66" t="n">
        <x:f>IFERROR(($B15*E$8*'VENTURE RETURNS'!$C$15*'VENTURE RETURNS'!$C$19)/'VENTURE RETURNS'!$C$12,0)</x:f>
        <x:v>4.952380952380953</x:v>
      </x:c>
      <x:c r="F15" s="66" t="n">
        <x:f>IFERROR(($B15*F$8*'VENTURE RETURNS'!$C$15*'VENTURE RETURNS'!$C$19)/'VENTURE RETURNS'!$C$12,0)</x:f>
        <x:v>5.942857142857144</x:v>
      </x:c>
      <x:c r="G15" s="66" t="n">
        <x:f>IFERROR(($B15*G$8*'VENTURE RETURNS'!$C$15*'VENTURE RETURNS'!$C$19)/'VENTURE RETURNS'!$C$12,0)</x:f>
        <x:v>6.9333333333333345</x:v>
      </x:c>
      <x:c r="H15" s="66" t="n">
        <x:f>IFERROR(($B15*H$8*'VENTURE RETURNS'!$C$15*'VENTURE RETURNS'!$C$19)/'VENTURE RETURNS'!$C$12,0)</x:f>
        <x:v>7.923809523809525</x:v>
      </x:c>
      <x:c r="I15" s="66" t="n">
        <x:f>IFERROR(($B15*I$8*'VENTURE RETURNS'!$C$15*'VENTURE RETURNS'!$C$19)/'VENTURE RETURNS'!$C$12,0)</x:f>
        <x:v>0</x:v>
      </x:c>
    </x:row>
    <x:row r="18">
      <x:c r="A18" s="20" t="str">
        <x:v>All ownership percentages inherit a made-up entry price and dilution assumption. Do not interpret any cell as an actual term sheet for Silna or as a market forecast.</x:v>
      </x:c>
      <x:c r="B18" s="20"/>
      <x:c r="C18" s="20"/>
      <x:c r="D18" s="20"/>
      <x:c r="E18" s="20"/>
      <x:c r="F18" s="20"/>
      <x:c r="G18" s="20"/>
      <x:c r="H18" s="20"/>
      <x:c r="I18" s="20"/>
    </x:row>
    <x:row r="19">
      <x:c r="A19" s="20"/>
      <x:c r="B19" s="20"/>
      <x:c r="C19" s="20"/>
      <x:c r="D19" s="20"/>
      <x:c r="E19" s="20"/>
      <x:c r="F19" s="20"/>
      <x:c r="G19" s="20"/>
      <x:c r="H19" s="20"/>
      <x:c r="I19" s="20"/>
    </x:row>
  </x:sheetData>
  <x:mergeCells>
    <x:mergeCell ref="A1:I1"/>
    <x:mergeCell ref="A3:I3"/>
    <x:mergeCell ref="A8:B8"/>
    <x:mergeCell ref="A18:I19"/>
  </x:mergeCells>
  <x:conditionalFormatting sqref="C9:I15">
    <x:cfRule type="colorScale" priority="1">
      <x:colorScale>
        <x:cfvo type="min"/>
        <x:cfvo type="percentile" val="50"/>
        <x:cfvo type="max"/>
        <x:color rgb="FFFBE2E2"/>
        <x:color rgb="FFFFF9D8"/>
        <x:color rgb="FFDAF3E9"/>
      </x:colorScale>
    </x:cfRule>
  </x:conditionalFormatting>
  <x:pageMargins left="0.7" right="0.7" top="0.75" bottom="0.75" header="0.3" footer="0.3"/>
</x:worksheet>
</file>

<file path=xl/worksheets/sheet1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45" hidden="0" customWidth="1"/>
    <x:col min="2" max="2" width="24" hidden="0" customWidth="1"/>
    <x:col min="3" max="3" width="23" hidden="0" customWidth="1"/>
    <x:col min="4" max="4" width="20" hidden="0" customWidth="1"/>
    <x:col min="5" max="5" width="84" hidden="0" customWidth="1"/>
  </x:cols>
  <x:sheetData>
    <x:row r="1" ht="42" customHeight="1">
      <x:c r="A1" s="4" t="str">
        <x:v>MARKET SIZING | EVIDENCE FIRST</x:v>
      </x:c>
      <x:c r="B1" s="4"/>
      <x:c r="C1" s="4"/>
      <x:c r="D1" s="4"/>
      <x:c r="E1" s="4"/>
      <x:c r="F1" s="4"/>
      <x:c r="G1" s="4"/>
    </x:row>
    <x:row r="3" ht="37" customHeight="1">
      <x:c r="A3" s="11" t="str">
        <x:v>No unsupported billion-dollar TAM. This sheet gives the structure for a later unit-based bottom-up serviceable-market estimate.</x:v>
      </x:c>
      <x:c r="B3" s="11"/>
      <x:c r="C3" s="11"/>
      <x:c r="D3" s="11"/>
      <x:c r="E3" s="11"/>
      <x:c r="F3" s="11"/>
      <x:c r="G3" s="11"/>
    </x:row>
    <x:row r="8" ht="30" customHeight="1">
      <x:c r="A8" s="27" t="str">
        <x:v>Driver</x:v>
      </x:c>
      <x:c r="B8" s="27" t="str">
        <x:v>Unit</x:v>
      </x:c>
      <x:c r="C8" s="27" t="str">
        <x:v>Status now</x:v>
      </x:c>
      <x:c r="D8" s="27" t="str">
        <x:v>Verified value</x:v>
      </x:c>
      <x:c r="E8" s="27" t="str">
        <x:v>Requirement to populate</x:v>
      </x:c>
    </x:row>
    <x:row r="9">
      <x:c r="A9" t="str">
        <x:v>Number of likely target buyer accounts</x:v>
      </x:c>
      <x:c r="B9" t="str">
        <x:v>health systems / groups</x:v>
      </x:c>
      <x:c r="C9" t="str">
        <x:v>Unverified</x:v>
      </x:c>
      <x:c r="D9" s="80"/>
      <x:c r="E9" t="str">
        <x:v>Source consistent buyer segmentation, geography and year</x:v>
      </x:c>
    </x:row>
    <x:row r="10">
      <x:c r="A10" t="str">
        <x:v>Fraction in scope for product</x:v>
      </x:c>
      <x:c r="B10" t="str">
        <x:v>%</x:v>
      </x:c>
      <x:c r="C10" t="str">
        <x:v>Unverified</x:v>
      </x:c>
      <x:c r="D10" s="118"/>
      <x:c r="E10" t="str">
        <x:v>Verify specialty, size, workflow, payer and EHR conditions</x:v>
      </x:c>
    </x:row>
    <x:row r="11">
      <x:c r="A11" t="str">
        <x:v>Affordable annual contract value</x:v>
      </x:c>
      <x:c r="B11" t="str">
        <x:v>USD/year</x:v>
      </x:c>
      <x:c r="C11" t="str">
        <x:v>Unverified</x:v>
      </x:c>
      <x:c r="D11" s="119"/>
      <x:c r="E11" t="str">
        <x:v>Dated pricing evidence by buyer segment</x:v>
      </x:c>
    </x:row>
    <x:row r="12">
      <x:c r="A12" t="str">
        <x:v>Serviceable addressable market</x:v>
      </x:c>
      <x:c r="B12" t="str">
        <x:v>USD/year</x:v>
      </x:c>
      <x:c r="C12" t="str">
        <x:v>Not calculable</x:v>
      </x:c>
      <x:c r="D12" s="36" t="n">
        <x:f>IF(COUNT(D9:D11)=3,D9*D10*D11,0)</x:f>
        <x:v>0</x:v>
      </x:c>
      <x:c r="E12" t="str">
        <x:v>Formula only when first three inputs are credible</x:v>
      </x:c>
    </x:row>
    <x:row r="13">
      <x:c r="A13" t="str">
        <x:v>Actual obtainable share</x:v>
      </x:c>
      <x:c r="B13" t="str">
        <x:v>%</x:v>
      </x:c>
      <x:c r="C13" t="str">
        <x:v>Unverified</x:v>
      </x:c>
      <x:c r="D13" s="119"/>
      <x:c r="E13" t="str">
        <x:v>Verified GTM sales capacity, cycle, incumbent switching</x:v>
      </x:c>
    </x:row>
    <x:row r="14">
      <x:c r="A14" t="str">
        <x:v>Illustrative obtainable market</x:v>
      </x:c>
      <x:c r="B14" t="str">
        <x:v>USD/year</x:v>
      </x:c>
      <x:c r="C14" t="str">
        <x:v>Not calculable</x:v>
      </x:c>
      <x:c r="D14" s="36" t="n">
        <x:f>IF(COUNT(D12:D13)=2,D12*D13,0)</x:f>
        <x:v>0</x:v>
      </x:c>
      <x:c r="E14" t="str">
        <x:v>Multiply serviceable market by evidenced capture rate</x:v>
      </x:c>
    </x:row>
    <x:row r="17" ht="26" customHeight="1">
      <x:c r="A17" s="17" t="str">
        <x:v>WHY WE DO NOT DIVIDE THE $258B ADMINISTRATIVE TRANSACTION BENEFIT INTO A REFERRAL SOFTWARE TAM</x:v>
      </x:c>
      <x:c r="B17" s="17"/>
      <x:c r="C17" s="17"/>
      <x:c r="D17" s="17"/>
      <x:c r="E17" s="17"/>
      <x:c r="F17" s="17"/>
      <x:c r="G17" s="17"/>
    </x:row>
    <x:row r="18">
      <x:c r="A18" s="20" t="str">
        <x:v>The CAQH Index administrative cost context includes many transactions and cannot be equated to the annual addressable market for referral and prior authorization software. CMS rules apply to certain impacted payers and largely exclude drugs under CMS-0057-F. An investment-grade market model requires segmented buyer counts, transaction cohorts, contract prices and willingness to pay.</x:v>
      </x:c>
      <x:c r="B18" s="20"/>
      <x:c r="C18" s="20"/>
      <x:c r="D18" s="20"/>
      <x:c r="E18" s="20"/>
      <x:c r="F18" s="20"/>
      <x:c r="G18" s="20"/>
    </x:row>
    <x:row r="19">
      <x:c r="A19" s="20"/>
      <x:c r="B19" s="20"/>
      <x:c r="C19" s="20"/>
      <x:c r="D19" s="20"/>
      <x:c r="E19" s="20"/>
      <x:c r="F19" s="20"/>
      <x:c r="G19" s="20"/>
    </x:row>
    <x:row r="20">
      <x:c r="A20" s="20"/>
      <x:c r="B20" s="20"/>
      <x:c r="C20" s="20"/>
      <x:c r="D20" s="20"/>
      <x:c r="E20" s="20"/>
      <x:c r="F20" s="20"/>
      <x:c r="G20" s="20"/>
    </x:row>
  </x:sheetData>
  <x:mergeCells>
    <x:mergeCell ref="A1:G1"/>
    <x:mergeCell ref="A3:G3"/>
    <x:mergeCell ref="A17:G17"/>
    <x:mergeCell ref="A18:G20"/>
  </x:mergeCells>
  <x:pageMargins left="0.7" right="0.7" top="0.75" bottom="0.75" header="0.3" footer="0.3"/>
</x:worksheet>
</file>

<file path=xl/worksheets/sheet11.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22" hidden="0" customWidth="1"/>
    <x:col min="2" max="2" width="26" hidden="0" customWidth="1"/>
    <x:col min="3" max="3" width="46" hidden="0" customWidth="1"/>
    <x:col min="4" max="4" width="48" hidden="0" customWidth="1"/>
    <x:col min="5" max="5" width="54" hidden="0" customWidth="1"/>
    <x:col min="6" max="6" width="60" hidden="0" customWidth="1"/>
    <x:col min="7" max="7" width="18" hidden="0" customWidth="1"/>
    <x:col min="8" max="8" width="22" hidden="0" customWidth="1"/>
  </x:cols>
  <x:sheetData>
    <x:row r="1" ht="42" customHeight="1">
      <x:c r="A1" s="4" t="str">
        <x:v>ALTERNATIVES | STRATEGIC AND COMMERCIAL</x:v>
      </x:c>
      <x:c r="B1" s="4"/>
      <x:c r="C1" s="4"/>
      <x:c r="D1" s="4"/>
      <x:c r="E1" s="4"/>
      <x:c r="F1" s="4"/>
      <x:c r="G1" s="4"/>
      <x:c r="H1" s="4"/>
    </x:row>
    <x:row r="3" ht="37" customHeight="1">
      <x:c r="A3" s="11" t="str">
        <x:v>Differentiate equity attractiveness from product fit. Current contracts and new financing availability have not been verified.</x:v>
      </x:c>
      <x:c r="B3" s="11"/>
      <x:c r="C3" s="11"/>
      <x:c r="D3" s="11"/>
      <x:c r="E3" s="11"/>
      <x:c r="F3" s="11"/>
      <x:c r="G3" s="11"/>
      <x:c r="H3" s="11"/>
    </x:row>
    <x:row r="8" ht="30" customHeight="1">
      <x:c r="A8" s="27" t="str">
        <x:v>Option</x:v>
      </x:c>
      <x:c r="B8" s="27" t="str">
        <x:v>Strategic role</x:v>
      </x:c>
      <x:c r="C8" s="27" t="str">
        <x:v>Public anchor</x:v>
      </x:c>
      <x:c r="D8" s="27" t="str">
        <x:v>Potential advantage</x:v>
      </x:c>
      <x:c r="E8" s="27" t="str">
        <x:v>Central challenge</x:v>
      </x:c>
      <x:c r="F8" s="27" t="str">
        <x:v>Next diligence action</x:v>
      </x:c>
      <x:c r="G8" s="27" t="str">
        <x:v>Decision status</x:v>
      </x:c>
      <x:c r="H8" s="27" t="str">
        <x:v>Source IDs</x:v>
      </x:c>
    </x:row>
    <x:row r="9" ht="68" customHeight="1">
      <x:c r="A9" s="20" t="str">
        <x:v>Silna Health</x:v>
      </x:c>
      <x:c r="B9" s="20" t="str">
        <x:v>Priority equity diligence</x:v>
      </x:c>
      <x:c r="C9" s="20" t="str">
        <x:v>$27m aggregate seed + Series A, Mar 2025</x:v>
      </x:c>
      <x:c r="D9" s="20" t="str">
        <x:v>Focused prior auth care-readiness workflows</x:v>
      </x:c>
      <x:c r="E9" s="20" t="str">
        <x:v>Acute care deployment, terms, ARR and adoption unverified</x:v>
      </x:c>
      <x:c r="F9" s="20" t="str">
        <x:v>Request health-system references and audited commercial metrics</x:v>
      </x:c>
      <x:c r="G9" s="20" t="str">
        <x:v>Underwrite only</x:v>
      </x:c>
      <x:c r="H9" s="20" t="str">
        <x:v>S10; S11</x:v>
      </x:c>
    </x:row>
    <x:row r="10" ht="68" customHeight="1">
      <x:c r="A10" s="20" t="str">
        <x:v>Tennr</x:v>
      </x:c>
      <x:c r="B10" s="20" t="str">
        <x:v>Commercial benchmark</x:v>
      </x:c>
      <x:c r="C10" s="20" t="str">
        <x:v>$101m Series C; $605m reported valuation, Jun 2025</x:v>
      </x:c>
      <x:c r="D10" s="20" t="str">
        <x:v>Referral document orchestration; specialist alignment</x:v>
      </x:c>
      <x:c r="E10" s="20" t="str">
        <x:v>Historical disclosed valuation and price sensitivity</x:v>
      </x:c>
      <x:c r="F10" s="20" t="str">
        <x:v>Compare functionality, current sales pricing and pilot guarantees</x:v>
      </x:c>
      <x:c r="G10" s="20" t="str">
        <x:v>Benchmark</x:v>
      </x:c>
      <x:c r="H10" s="20" t="str">
        <x:v>S08; S09</x:v>
      </x:c>
    </x:row>
    <x:row r="11" ht="68" customHeight="1">
      <x:c r="A11" s="20" t="str">
        <x:v>Rhyme</x:v>
      </x:c>
      <x:c r="B11" s="20" t="str">
        <x:v>Payer-provider comparator</x:v>
      </x:c>
      <x:c r="C11" s="20" t="str">
        <x:v>Payer network positioning is vendor-described</x:v>
      </x:c>
      <x:c r="D11" s="20" t="str">
        <x:v>Potential authorization network connectivity</x:v>
      </x:c>
      <x:c r="E11" s="20" t="str">
        <x:v>Coverage, denominator and integration independent evidence missing</x:v>
      </x:c>
      <x:c r="F11" s="20" t="str">
        <x:v>Audit payer coverage and exception performance</x:v>
      </x:c>
      <x:c r="G11" s="20" t="str">
        <x:v>Benchmark</x:v>
      </x:c>
      <x:c r="H11" s="20" t="str">
        <x:v>S14</x:v>
      </x:c>
    </x:row>
    <x:row r="12" ht="68" customHeight="1">
      <x:c r="A12" s="20" t="str">
        <x:v>Notable</x:v>
      </x:c>
      <x:c r="B12" s="20" t="str">
        <x:v>Existing-vendor alternative</x:v>
      </x:c>
      <x:c r="C12" s="20" t="str">
        <x:v>Intermountain announced 2020 intake partnership</x:v>
      </x:c>
      <x:c r="D12" s="20" t="str">
        <x:v>Potentially lower switch and procurement friction</x:v>
      </x:c>
      <x:c r="E12" s="20" t="str">
        <x:v>Current 2026 scope, cost and referral product fit unknown</x:v>
      </x:c>
      <x:c r="F12" s="20" t="str">
        <x:v>Verify contracts and ask for incremental module quote</x:v>
      </x:c>
      <x:c r="G12" s="20" t="str">
        <x:v>First check</x:v>
      </x:c>
      <x:c r="H12" s="20" t="str">
        <x:v>S31; S33; S34; S36</x:v>
      </x:c>
    </x:row>
    <x:row r="13" ht="68" customHeight="1">
      <x:c r="A13" s="20" t="str">
        <x:v>Internal / existing tools</x:v>
      </x:c>
      <x:c r="B13" s="20" t="str">
        <x:v>Build or optimize baseline</x:v>
      </x:c>
      <x:c r="C13" s="20" t="str">
        <x:v>No internal contract access</x:v>
      </x:c>
      <x:c r="D13" s="20" t="str">
        <x:v>May avoid implementation and duplicative vendor cost</x:v>
      </x:c>
      <x:c r="E13" s="20" t="str">
        <x:v>Engineering burden; no evidence of attainable scope</x:v>
      </x:c>
      <x:c r="F13" s="20" t="str">
        <x:v>Baseline workflows, costs, maintenance and latency</x:v>
      </x:c>
      <x:c r="G13" s="20" t="str">
        <x:v>Mandatory control</x:v>
      </x:c>
      <x:c r="H13" s="20" t="str">
        <x:v>Internal verification</x:v>
      </x:c>
    </x:row>
  </x:sheetData>
  <x:mergeCells>
    <x:mergeCell ref="A1:H1"/>
    <x:mergeCell ref="A3:H3"/>
  </x:mergeCells>
  <x:pageMargins left="0.7" right="0.7" top="0.75" bottom="0.75" header="0.3" footer="0.3"/>
</x:worksheet>
</file>

<file path=xl/worksheets/sheet12.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10" hidden="0" customWidth="1"/>
    <x:col min="2" max="2" width="25" hidden="0" customWidth="1"/>
    <x:col min="3" max="3" width="79" hidden="0" customWidth="1"/>
    <x:col min="4" max="4" width="57" hidden="0" customWidth="1"/>
    <x:col min="5" max="5" width="41" hidden="0" customWidth="1"/>
    <x:col min="6" max="6" width="17" hidden="0" customWidth="1"/>
    <x:col min="7" max="7" width="40" hidden="0" customWidth="1"/>
  </x:cols>
  <x:sheetData>
    <x:row r="1" ht="42" customHeight="1">
      <x:c r="A1" s="4" t="str">
        <x:v>GO / NO-GO INVESTMENT GATES</x:v>
      </x:c>
      <x:c r="B1" s="4"/>
      <x:c r="C1" s="4"/>
      <x:c r="D1" s="4"/>
      <x:c r="E1" s="4"/>
      <x:c r="F1" s="4"/>
      <x:c r="G1" s="4"/>
    </x:row>
    <x:row r="3" ht="37" customHeight="1">
      <x:c r="A3" s="11" t="str">
        <x:v>Unknown is not pass. Evidence collection is the Phase 3 dashboard workflow, not a substitute for actual primary diligence.</x:v>
      </x:c>
      <x:c r="B3" s="11"/>
      <x:c r="C3" s="11"/>
      <x:c r="D3" s="11"/>
      <x:c r="E3" s="11"/>
      <x:c r="F3" s="11"/>
      <x:c r="G3" s="11"/>
    </x:row>
    <x:row r="8" ht="30" customHeight="1">
      <x:c r="A8" s="27" t="str">
        <x:v>ID</x:v>
      </x:c>
      <x:c r="B8" s="27" t="str">
        <x:v>Gate</x:v>
      </x:c>
      <x:c r="C8" s="27" t="str">
        <x:v>Specific success criterion</x:v>
      </x:c>
      <x:c r="D8" s="27" t="str">
        <x:v>Current evidence</x:v>
      </x:c>
      <x:c r="E8" s="27" t="str">
        <x:v>Owner to ask</x:v>
      </x:c>
      <x:c r="F8" s="27" t="str">
        <x:v>Status</x:v>
      </x:c>
      <x:c r="G8" s="27" t="str">
        <x:v>Outcome if not met</x:v>
      </x:c>
    </x:row>
    <x:row r="9" ht="68" customHeight="1">
      <x:c r="A9" s="20" t="str">
        <x:v>G01</x:v>
      </x:c>
      <x:c r="B9" s="20" t="str">
        <x:v>Incumbent overlap</x:v>
      </x:c>
      <x:c r="C9" s="20" t="str">
        <x:v>Document currently deployed Notable/other modules and cost of extension</x:v>
      </x:c>
      <x:c r="D9" s="20" t="str">
        <x:v>Only historical public case studies</x:v>
      </x:c>
      <x:c r="E9" s="20" t="str">
        <x:v>Clinical operations and procurement</x:v>
      </x:c>
      <x:c r="F9" s="122" t="str">
        <x:v>Unknown</x:v>
      </x:c>
      <x:c r="G9" s="20" t="str">
        <x:v>Evaluate incumbent first</x:v>
      </x:c>
    </x:row>
    <x:row r="10" ht="68" customHeight="1">
      <x:c r="A10" s="20" t="str">
        <x:v>G02</x:v>
      </x:c>
      <x:c r="B10" s="20" t="str">
        <x:v>Safety and security</x:v>
      </x:c>
      <x:c r="C10" s="20" t="str">
        <x:v>Signed BAA, approved security assessment, no critical uncontrolled error</x:v>
      </x:c>
      <x:c r="D10" s="20" t="str">
        <x:v>No access to relevant vendor reports</x:v>
      </x:c>
      <x:c r="E10" s="20" t="str">
        <x:v>Security and clinical governance</x:v>
      </x:c>
      <x:c r="F10" s="122" t="str">
        <x:v>Unknown</x:v>
      </x:c>
      <x:c r="G10" s="20" t="str">
        <x:v>Stop pilot</x:v>
      </x:c>
    </x:row>
    <x:row r="11" ht="68" customHeight="1">
      <x:c r="A11" s="20" t="str">
        <x:v>G03</x:v>
      </x:c>
      <x:c r="B11" s="20" t="str">
        <x:v>Real-world automation</x:v>
      </x:c>
      <x:c r="C11" s="20" t="str">
        <x:v>Independent completion rate, manually verified errors and exceptions by specialty</x:v>
      </x:c>
      <x:c r="D11" s="20" t="str">
        <x:v>Vendor product claims not independently validated</x:v>
      </x:c>
      <x:c r="E11" s="20" t="str">
        <x:v>Clinical operations and vendor customers</x:v>
      </x:c>
      <x:c r="F11" s="122" t="str">
        <x:v>Unknown</x:v>
      </x:c>
      <x:c r="G11" s="20" t="str">
        <x:v>Redesign/pause</x:v>
      </x:c>
    </x:row>
    <x:row r="12" ht="68" customHeight="1">
      <x:c r="A12" s="20" t="str">
        <x:v>G04</x:v>
      </x:c>
      <x:c r="B12" s="20" t="str">
        <x:v>Economics at scale</x:v>
      </x:c>
      <x:c r="C12" s="20" t="str">
        <x:v>Realized cash benefit exceeds recurring cost by at least 1.2x at validated volume and price</x:v>
      </x:c>
      <x:c r="D12" s="20" t="str">
        <x:v>Illustrative case only</x:v>
      </x:c>
      <x:c r="E12" s="20" t="str">
        <x:v>Finance, operations, vendor</x:v>
      </x:c>
      <x:c r="F12" s="122" t="str">
        <x:v>Unknown</x:v>
      </x:c>
      <x:c r="G12" s="20" t="str">
        <x:v>Do not expand</x:v>
      </x:c>
    </x:row>
    <x:row r="13" ht="68" customHeight="1">
      <x:c r="A13" s="20" t="str">
        <x:v>G05</x:v>
      </x:c>
      <x:c r="B13" s="20" t="str">
        <x:v>Service outcomes</x:v>
      </x:c>
      <x:c r="C13" s="20" t="str">
        <x:v>Referral throughput, time-to-care and denials not worsened; stop thresholds defined</x:v>
      </x:c>
      <x:c r="D13" s="20" t="str">
        <x:v>Not measured</x:v>
      </x:c>
      <x:c r="E13" s="20" t="str">
        <x:v>Clinical quality and scheduling</x:v>
      </x:c>
      <x:c r="F13" s="122" t="str">
        <x:v>Unknown</x:v>
      </x:c>
      <x:c r="G13" s="20" t="str">
        <x:v>Stop or narrow</x:v>
      </x:c>
    </x:row>
    <x:row r="14" ht="68" customHeight="1">
      <x:c r="A14" s="20" t="str">
        <x:v>G06</x:v>
      </x:c>
      <x:c r="B14" s="20" t="str">
        <x:v>Integration</x:v>
      </x:c>
      <x:c r="C14" s="20" t="str">
        <x:v>EHR and payer workflows supported with measurable implementation milestones</x:v>
      </x:c>
      <x:c r="D14" s="20" t="str">
        <x:v>Not verified</x:v>
      </x:c>
      <x:c r="E14" s="20" t="str">
        <x:v>EHR, revenue cycle and vendor IT</x:v>
      </x:c>
      <x:c r="F14" s="122" t="str">
        <x:v>Unknown</x:v>
      </x:c>
      <x:c r="G14" s="20" t="str">
        <x:v>Stop or renegotiate</x:v>
      </x:c>
    </x:row>
    <x:row r="15" ht="68" customHeight="1">
      <x:c r="A15" s="20" t="str">
        <x:v>G07</x:v>
      </x:c>
      <x:c r="B15" s="20" t="str">
        <x:v>Company quality</x:v>
      </x:c>
      <x:c r="C15" s="20" t="str">
        <x:v>ARR, gross margin, net retention, churn, burn, cap table and references validated</x:v>
      </x:c>
      <x:c r="D15" s="20" t="str">
        <x:v>Private metrics unknown</x:v>
      </x:c>
      <x:c r="E15" s="20" t="str">
        <x:v>Company CFO and investors</x:v>
      </x:c>
      <x:c r="F15" s="122" t="str">
        <x:v>Unknown</x:v>
      </x:c>
      <x:c r="G15" s="20" t="str">
        <x:v>No equity recommendation</x:v>
      </x:c>
    </x:row>
    <x:row r="16" ht="68" customHeight="1">
      <x:c r="A16" s="20" t="str">
        <x:v>G08</x:v>
      </x:c>
      <x:c r="B16" s="20" t="str">
        <x:v>Entry discipline</x:v>
      </x:c>
      <x:c r="C16" s="20" t="str">
        <x:v>Live term sheet and risk-adjusted return under downside/base/upside</x:v>
      </x:c>
      <x:c r="D16" s="20" t="str">
        <x:v>No live round terms verified</x:v>
      </x:c>
      <x:c r="E16" s="20" t="str">
        <x:v>Investment team and counsel</x:v>
      </x:c>
      <x:c r="F16" s="122" t="str">
        <x:v>Unknown</x:v>
      </x:c>
      <x:c r="G16" s="20" t="str">
        <x:v>No equity recommendation</x:v>
      </x:c>
    </x:row>
    <x:row r="17" ht="68" customHeight="1">
      <x:c r="A17" s="20" t="str">
        <x:v>G09</x:v>
      </x:c>
      <x:c r="B17" s="20" t="str">
        <x:v>Governance</x:v>
      </x:c>
      <x:c r="C17" s="20" t="str">
        <x:v>No conflicting incentives from vendor investment when procuring product</x:v>
      </x:c>
      <x:c r="D17" s="20" t="str">
        <x:v>Strategic investor conflict cannot be assessed</x:v>
      </x:c>
      <x:c r="E17" s="20" t="str">
        <x:v>Compliance and investment committee</x:v>
      </x:c>
      <x:c r="F17" s="122" t="str">
        <x:v>Unknown</x:v>
      </x:c>
      <x:c r="G17" s="20" t="str">
        <x:v>Independent procurement review</x:v>
      </x:c>
    </x:row>
    <x:row r="18" ht="68" customHeight="1">
      <x:c r="A18" s="20" t="str">
        <x:v>G10</x:v>
      </x:c>
      <x:c r="B18" s="20" t="str">
        <x:v>Regulatory scope</x:v>
      </x:c>
      <x:c r="C18" s="20" t="str">
        <x:v>Exact covered PA types, payers, state regulations and excluded drug cases mapped</x:v>
      </x:c>
      <x:c r="D18" s="20" t="str">
        <x:v>Federal CMS 0057-F only</x:v>
      </x:c>
      <x:c r="E18" s="20" t="str">
        <x:v>Reimbursement counsel and payer teams</x:v>
      </x:c>
      <x:c r="F18" s="122" t="str">
        <x:v>Unknown</x:v>
      </x:c>
      <x:c r="G18" s="20" t="str">
        <x:v>Narrow covered cohorts</x:v>
      </x:c>
    </x:row>
  </x:sheetData>
  <x:mergeCells>
    <x:mergeCell ref="A1:G1"/>
    <x:mergeCell ref="A3:G3"/>
  </x:mergeCells>
  <x:dataValidations count="1">
    <x:dataValidation type="list" sqref="F9:F18">
      <x:formula1>"Unknown,Requested,In progress,Pass,Fail"</x:formula1>
    </x:dataValidation>
  </x:dataValidations>
  <x:pageMargins left="0.7" right="0.7" top="0.75" bottom="0.75" header="0.3" footer="0.3"/>
</x:worksheet>
</file>

<file path=xl/worksheets/sheet13.xml><?xml version="1.0" encoding="utf-8"?>
<x:worksheet xmlns:x="http://schemas.openxmlformats.org/spreadsheetml/2006/main">
  <x:sheetViews>
    <x:sheetView workbookViewId="0">
      <x:pane xSplit="2" ySplit="8" topLeftCell="C9" activePane="bottomRight" state="frozen"/>
    </x:sheetView>
  </x:sheetViews>
  <x:sheetFormatPr defaultRowHeight="15"/>
  <x:cols>
    <x:col min="1" max="1" width="10" hidden="0" customWidth="1"/>
    <x:col min="2" max="2" width="30" hidden="0" customWidth="1"/>
    <x:col min="3" max="3" width="25" hidden="0" customWidth="1"/>
    <x:col min="4" max="4" width="88" hidden="0" customWidth="1"/>
    <x:col min="5" max="5" width="102" hidden="0" customWidth="1"/>
    <x:col min="6" max="6" width="24" hidden="0" customWidth="1"/>
    <x:col min="7" max="7" width="82" hidden="0" customWidth="1"/>
  </x:cols>
  <x:sheetData>
    <x:row r="1" ht="42" customHeight="1">
      <x:c r="A1" s="4" t="str">
        <x:v>SOURCE AND CLAIM REGISTER</x:v>
      </x:c>
      <x:c r="B1" s="4"/>
      <x:c r="C1" s="4"/>
      <x:c r="D1" s="4"/>
      <x:c r="E1" s="4"/>
      <x:c r="F1" s="4"/>
      <x:c r="G1" s="4"/>
    </x:row>
    <x:row r="3" ht="37" customHeight="1">
      <x:c r="A3" s="11" t="str">
        <x:v>Source content is historical as dated. Vendor press is not independently validated. All scenario metrics originate from analyst assumptions.</x:v>
      </x:c>
      <x:c r="B3" s="11"/>
      <x:c r="C3" s="11"/>
      <x:c r="D3" s="11"/>
      <x:c r="E3" s="11"/>
      <x:c r="F3" s="11"/>
      <x:c r="G3" s="11"/>
    </x:row>
    <x:row r="8" ht="30" customHeight="1">
      <x:c r="A8" s="27" t="str">
        <x:v>ID</x:v>
      </x:c>
      <x:c r="B8" s="27" t="str">
        <x:v>Publisher</x:v>
      </x:c>
      <x:c r="C8" s="27" t="str">
        <x:v>Publication date</x:v>
      </x:c>
      <x:c r="D8" s="27" t="str">
        <x:v>Claim / context</x:v>
      </x:c>
      <x:c r="E8" s="27" t="str">
        <x:v>Source URL</x:v>
      </x:c>
      <x:c r="F8" s="27" t="str">
        <x:v>Classification</x:v>
      </x:c>
      <x:c r="G8" s="27" t="str">
        <x:v>Reliability or scope limitation</x:v>
      </x:c>
    </x:row>
    <x:row r="9" ht="56" customHeight="1">
      <x:c r="A9" s="20" t="str">
        <x:v>S01</x:v>
      </x:c>
      <x:c r="B9" s="20" t="str">
        <x:v>Intermountain Health</x:v>
      </x:c>
      <x:c r="C9" s="20" t="str">
        <x:v>Undated / accessed 2026-10-10</x:v>
      </x:c>
      <x:c r="D9" s="20" t="str">
        <x:v>Six investment sectors; early and growth stage; piloting and post-investment support</x:v>
      </x:c>
      <x:c r="E9" s="20" t="str">
        <x:v>https://intermountainhealthcare.org/about/ventures</x:v>
      </x:c>
      <x:c r="F9" s="20" t="str">
        <x:v>Primary</x:v>
      </x:c>
      <x:c r="G9" s="20" t="str">
        <x:v>Official strategy; not a published check-size policy</x:v>
      </x:c>
    </x:row>
    <x:row r="10" ht="56" customHeight="1">
      <x:c r="A10" s="20" t="str">
        <x:v>S02</x:v>
      </x:c>
      <x:c r="B10" s="20" t="str">
        <x:v>Intermountain Ventures</x:v>
      </x:c>
      <x:c r="C10" s="20" t="str">
        <x:v>Undated / accessed 2026-10-10</x:v>
      </x:c>
      <x:c r="D10" s="20" t="str">
        <x:v>Portfolio reference to check competitive/portfolio overlap</x:v>
      </x:c>
      <x:c r="E10" s="20" t="str">
        <x:v>https://intermountainventures.com/portfolio</x:v>
      </x:c>
      <x:c r="F10" s="20" t="str">
        <x:v>Primary</x:v>
      </x:c>
      <x:c r="G10" s="20" t="str">
        <x:v>Portfolio may change; no guarantee exhaustive</x:v>
      </x:c>
    </x:row>
    <x:row r="11" ht="56" customHeight="1">
      <x:c r="A11" s="20" t="str">
        <x:v>S03</x:v>
      </x:c>
      <x:c r="B11" s="20" t="str">
        <x:v>Select Health</x:v>
      </x:c>
      <x:c r="C11" s="20" t="str">
        <x:v>2025-12-11</x:v>
      </x:c>
      <x:c r="D11" s="20" t="str">
        <x:v>Select Health is an integrated health plan aligned with Intermountain</x:v>
      </x:c>
      <x:c r="E11" s="20" t="str">
        <x:v>https://www.selecthealth.org/who-we-are/newsroom/december-11-2025-press-release</x:v>
      </x:c>
      <x:c r="F11" s="20" t="str">
        <x:v>Primary</x:v>
      </x:c>
      <x:c r="G11" s="20" t="str">
        <x:v>Relationship does not imply permission to pilot</x:v>
      </x:c>
    </x:row>
    <x:row r="12" ht="56" customHeight="1">
      <x:c r="A12" s="20" t="str">
        <x:v>S04</x:v>
      </x:c>
      <x:c r="B12" s="20" t="str">
        <x:v>CMS</x:v>
      </x:c>
      <x:c r="C12" s="20" t="str">
        <x:v>2024-01-17</x:v>
      </x:c>
      <x:c r="D12" s="20" t="str">
        <x:v>Prior auth operational provisions 2026 and API requirements mostly 2027; principally non-drug services</x:v>
      </x:c>
      <x:c r="E12" s="20" t="str">
        <x:v>https://www.cms.gov/newsroom/fact-sheets/cms-interoperability-prior-authorization-final-rule-cms-0057-f</x:v>
      </x:c>
      <x:c r="F12" s="20" t="str">
        <x:v>Regulator</x:v>
      </x:c>
      <x:c r="G12" s="20" t="str">
        <x:v>Covered payers and programs, scope and exceptions matter</x:v>
      </x:c>
    </x:row>
    <x:row r="13" ht="56" customHeight="1">
      <x:c r="A13" s="20" t="str">
        <x:v>S05</x:v>
      </x:c>
      <x:c r="B13" s="20" t="str">
        <x:v>CMS</x:v>
      </x:c>
      <x:c r="C13" s="20" t="str">
        <x:v>2026 / updated 2026-10-08</x:v>
      </x:c>
      <x:c r="D13" s="20" t="str">
        <x:v>2026 proposed rule on drug authorization is proposed, not finalized</x:v>
      </x:c>
      <x:c r="E13" s="20" t="str">
        <x:v>https://www.cms.gov/initiatives/burden-reduction/overview/interoperability/policies-regulations/cms-interoperability-standards-prior-authorization-drugs-proposed-rule-cms-0062-p</x:v>
      </x:c>
      <x:c r="F13" s="20" t="str">
        <x:v>Regulator</x:v>
      </x:c>
      <x:c r="G13" s="20" t="str">
        <x:v>Do not state the 2026 drug proposal is final</x:v>
      </x:c>
    </x:row>
    <x:row r="14" ht="56" customHeight="1">
      <x:c r="A14" s="20" t="str">
        <x:v>S06</x:v>
      </x:c>
      <x:c r="B14" s="20" t="str">
        <x:v>American Medical Association</x:v>
      </x:c>
      <x:c r="C14" s="20" t="str">
        <x:v>2026-05-13</x:v>
      </x:c>
      <x:c r="D14" s="20" t="str">
        <x:v>2025 physician survey: 40 PAs per physician each week and 13 hours per practice per week</x:v>
      </x:c>
      <x:c r="E14" s="20" t="str">
        <x:v>https://www.ama-assn.org/press-center/ama-press-releases/ama-survey-prior-authorization-reform-pledge-falls-short-physicians</x:v>
      </x:c>
      <x:c r="F14" s="20" t="str">
        <x:v>Industry survey</x:v>
      </x:c>
      <x:c r="G14" s="20" t="str">
        <x:v>Survey responses, not measured national time or per-referral savings</x:v>
      </x:c>
    </x:row>
    <x:row r="15" ht="56" customHeight="1">
      <x:c r="A15" s="20" t="str">
        <x:v>S07</x:v>
      </x:c>
      <x:c r="B15" s="20" t="str">
        <x:v>CAQH</x:v>
      </x:c>
      <x:c r="C15" s="20" t="str">
        <x:v>2026-02-19</x:v>
      </x:c>
      <x:c r="D15" s="20" t="str">
        <x:v>2025 Index highlights $258B costs avoided in 2024 across electronic admin transactions</x:v>
      </x:c>
      <x:c r="E15" s="20" t="str">
        <x:v>https://www.globenewswire.com/news-release/2026/02/19/3241072/0/en/2025-caqh-index-shows-u-s-healthcare-avoided-258-billion-and-accelerated-automation-interoperability-and-ai-adoption.html</x:v>
      </x:c>
      <x:c r="F15" s="20" t="str">
        <x:v>Industry research</x:v>
      </x:c>
      <x:c r="G15" s="20" t="str">
        <x:v>Broad administrative transactions, not a referral automation TAM</x:v>
      </x:c>
    </x:row>
    <x:row r="16" ht="56" customHeight="1">
      <x:c r="A16" s="20" t="str">
        <x:v>S08</x:v>
      </x:c>
      <x:c r="B16" s="20" t="str">
        <x:v>Fortune</x:v>
      </x:c>
      <x:c r="C16" s="20" t="str">
        <x:v>2025-06-18</x:v>
      </x:c>
      <x:c r="D16" s="20" t="str">
        <x:v>Tennr $101M Series C at reported $605M valuation</x:v>
      </x:c>
      <x:c r="E16" s="20" t="str">
        <x:v>https://fortune.com/2025/06/18/tennr-health-tech-ai-patient-referral-ivp-a16z-lightspeed-iconiq-series-c/</x:v>
      </x:c>
      <x:c r="F16" s="20" t="str">
        <x:v>Independent press</x:v>
      </x:c>
      <x:c r="G16" s="20" t="str">
        <x:v>June 2025 snapshot, not current valuation</x:v>
      </x:c>
    </x:row>
    <x:row r="17" ht="56" customHeight="1">
      <x:c r="A17" s="20" t="str">
        <x:v>S09</x:v>
      </x:c>
      <x:c r="B17" s="20" t="str">
        <x:v>Tennr</x:v>
      </x:c>
      <x:c r="C17" s="20" t="str">
        <x:v>2025-06-18</x:v>
      </x:c>
      <x:c r="D17" s="20" t="str">
        <x:v>Tennr raises $101M Series C and introduces referral network</x:v>
      </x:c>
      <x:c r="E17" s="20" t="str">
        <x:v>https://www.prnewswire.com/news-releases/healthcare-referrals-are-where-patients-get-lost-tennr-raises-101m-to-bring-the-visibility-our-system-desperately-needs-302485255.html</x:v>
      </x:c>
      <x:c r="F17" s="20" t="str">
        <x:v>Company announcement</x:v>
      </x:c>
      <x:c r="G17" s="20" t="str">
        <x:v>Vendor performance metrics self-reported</x:v>
      </x:c>
    </x:row>
    <x:row r="18" ht="56" customHeight="1">
      <x:c r="A18" s="20" t="str">
        <x:v>S10</x:v>
      </x:c>
      <x:c r="B18" s="20" t="str">
        <x:v>Silna Health</x:v>
      </x:c>
      <x:c r="C18" s="20" t="str">
        <x:v>2025-03-25</x:v>
      </x:c>
      <x:c r="D18" s="20" t="str">
        <x:v>Silna launched with $27M cumulative seed and Series A funding</x:v>
      </x:c>
      <x:c r="E18" s="20" t="str">
        <x:v>https://www.silnahealth.com/resources/introducing-silna-health/</x:v>
      </x:c>
      <x:c r="F18" s="20" t="str">
        <x:v>Company announcement</x:v>
      </x:c>
      <x:c r="G18" s="20" t="str">
        <x:v>$27M total across announced rounds, not one round</x:v>
      </x:c>
    </x:row>
    <x:row r="19" ht="56" customHeight="1">
      <x:c r="A19" s="20" t="str">
        <x:v>S11</x:v>
      </x:c>
      <x:c r="B19" s="20" t="str">
        <x:v>Silna Health</x:v>
      </x:c>
      <x:c r="C19" s="20" t="str">
        <x:v>2026-01-28</x:v>
      </x:c>
      <x:c r="D19" s="20" t="str">
        <x:v>Predictive document intelligence; reported support for &gt;150,000 patients</x:v>
      </x:c>
      <x:c r="E19" s="20" t="str">
        <x:v>https://www.silnahealth.com/resources/predictive-document-intelligence/</x:v>
      </x:c>
      <x:c r="F19" s="20" t="str">
        <x:v>Company announcement</x:v>
      </x:c>
      <x:c r="G19" s="20" t="str">
        <x:v>Company-reported patient count, not independently audited</x:v>
      </x:c>
    </x:row>
    <x:row r="20" ht="56" customHeight="1">
      <x:c r="A20" s="20" t="str">
        <x:v>S12</x:v>
      </x:c>
      <x:c r="B20" s="20" t="str">
        <x:v>Silna Engineering</x:v>
      </x:c>
      <x:c r="C20" s="20" t="str">
        <x:v>2026-05-01</x:v>
      </x:c>
      <x:c r="D20" s="20" t="str">
        <x:v>Browser agents; self-described scaling of payer portal workflows</x:v>
      </x:c>
      <x:c r="E20" s="20" t="str">
        <x:v>https://engineering.silnahealth.com/posts/beyond-the-agent/</x:v>
      </x:c>
      <x:c r="F20" s="20" t="str">
        <x:v>Company engineering</x:v>
      </x:c>
      <x:c r="G20" s="20" t="str">
        <x:v>Reported internal performance is not customer-verified</x:v>
      </x:c>
    </x:row>
    <x:row r="21" ht="56" customHeight="1">
      <x:c r="A21" s="20" t="str">
        <x:v>S13</x:v>
      </x:c>
      <x:c r="B21" s="20" t="str">
        <x:v>Silna Health</x:v>
      </x:c>
      <x:c r="C21" s="20" t="str">
        <x:v>Undated / accessed 2026-10-10</x:v>
      </x:c>
      <x:c r="D21" s="20" t="str">
        <x:v>AnswersNow case study of turnaround improvement in ABA therapy</x:v>
      </x:c>
      <x:c r="E21" s="20" t="str">
        <x:v>https://www.silnahealth.com/resources/answersnow-case-study/</x:v>
      </x:c>
      <x:c r="F21" s="20" t="str">
        <x:v>Vendor case study</x:v>
      </x:c>
      <x:c r="G21" s="20" t="str">
        <x:v>Specialty case, not a generalizable hospital benchmark</x:v>
      </x:c>
    </x:row>
    <x:row r="22" ht="56" customHeight="1">
      <x:c r="A22" s="20" t="str">
        <x:v>S14</x:v>
      </x:c>
      <x:c r="B22" s="20" t="str">
        <x:v>Rhyme</x:v>
      </x:c>
      <x:c r="C22" s="20" t="str">
        <x:v>Undated / accessed 2026-10-10</x:v>
      </x:c>
      <x:c r="D22" s="20" t="str">
        <x:v>Provider-payer authorization network and touchless workflows</x:v>
      </x:c>
      <x:c r="E22" s="20" t="str">
        <x:v>https://getrhyme.com/</x:v>
      </x:c>
      <x:c r="F22" s="20" t="str">
        <x:v>Company website</x:v>
      </x:c>
      <x:c r="G22" s="20" t="str">
        <x:v>Inconsistent volume figures on current website, do not quote precise volume</x:v>
      </x:c>
    </x:row>
    <x:row r="23" ht="56" customHeight="1">
      <x:c r="A23" s="20" t="str">
        <x:v>S15</x:v>
      </x:c>
      <x:c r="B23" s="20" t="str">
        <x:v>Plenful</x:v>
      </x:c>
      <x:c r="C23" s="20" t="str">
        <x:v>2025-04-30</x:v>
      </x:c>
      <x:c r="D23" s="20" t="str">
        <x:v>Plenful $50M Series B funding; broader pharmacy operations</x:v>
      </x:c>
      <x:c r="E23" s="20" t="str">
        <x:v>https://www.prnewswire.com/news/Plenful/</x:v>
      </x:c>
      <x:c r="F23" s="20" t="str">
        <x:v>Company press index</x:v>
      </x:c>
      <x:c r="G23" s="20" t="str">
        <x:v>Index supports date/amount; individual release preferred for deep diligence</x:v>
      </x:c>
    </x:row>
    <x:row r="24" ht="56" customHeight="1">
      <x:c r="A24" s="20" t="str">
        <x:v>S16</x:v>
      </x:c>
      <x:c r="B24" s="20" t="str">
        <x:v>Plenful</x:v>
      </x:c>
      <x:c r="C24" s="20" t="str">
        <x:v>2025-09-11</x:v>
      </x:c>
      <x:c r="D24" s="20" t="str">
        <x:v>Intake and specialty pharmacy prior authorization suite</x:v>
      </x:c>
      <x:c r="E24" s="20" t="str">
        <x:v>https://www.plenful.com/blog/news-bringing-ai-powered-speed-to-intake-authorization-end-to-end</x:v>
      </x:c>
      <x:c r="F24" s="20" t="str">
        <x:v>Company announcement</x:v>
      </x:c>
      <x:c r="G24" s="20" t="str">
        <x:v>Performance figures vendor-reported</x:v>
      </x:c>
    </x:row>
    <x:row r="25" ht="56" customHeight="1">
      <x:c r="A25" s="20" t="str">
        <x:v>S17</x:v>
      </x:c>
      <x:c r="B25" s="20" t="str">
        <x:v>SamaCare</x:v>
      </x:c>
      <x:c r="C25" s="20" t="str">
        <x:v>2024-05-21</x:v>
      </x:c>
      <x:c r="D25" s="20" t="str">
        <x:v>SamaCare $17M Series B</x:v>
      </x:c>
      <x:c r="E25" s="20" t="str">
        <x:v>https://www.samacare.com/resources/samacare-secures-17m-series-b-investment-to-scale-specialty-drug-prior-authorization-platform</x:v>
      </x:c>
      <x:c r="F25" s="20" t="str">
        <x:v>Company announcement</x:v>
      </x:c>
      <x:c r="G25" s="20" t="str">
        <x:v>2024 event; not verified latest round</x:v>
      </x:c>
    </x:row>
    <x:row r="26" ht="56" customHeight="1">
      <x:c r="A26" s="20" t="str">
        <x:v>S18</x:v>
      </x:c>
      <x:c r="B26" s="20" t="str">
        <x:v>SamaCare</x:v>
      </x:c>
      <x:c r="C26" s="20" t="str">
        <x:v>Undated / accessed 2026-10-10</x:v>
      </x:c>
      <x:c r="D26" s="20" t="str">
        <x:v>Medical-benefit specialty drug PA workflows and benchmarks</x:v>
      </x:c>
      <x:c r="E26" s="20" t="str">
        <x:v>https://samacare.com/providers</x:v>
      </x:c>
      <x:c r="F26" s="20" t="str">
        <x:v>Company website</x:v>
      </x:c>
      <x:c r="G26" s="20" t="str">
        <x:v>Niche medical-benefit scope; vendor claims require validation</x:v>
      </x:c>
    </x:row>
    <x:row r="27" ht="56" customHeight="1">
      <x:c r="A27" s="20" t="str">
        <x:v>S19</x:v>
      </x:c>
      <x:c r="B27" s="20" t="str">
        <x:v>ReferralMD</x:v>
      </x:c>
      <x:c r="C27" s="20" t="str">
        <x:v>Undated / accessed 2026-10-10</x:v>
      </x:c>
      <x:c r="D27" s="20" t="str">
        <x:v>Referral intake, matching, routing and tracking capabilities</x:v>
      </x:c>
      <x:c r="E27" s="20" t="str">
        <x:v>https://referralmd.com/solutions/referral-management/</x:v>
      </x:c>
      <x:c r="F27" s="20" t="str">
        <x:v>Company website</x:v>
      </x:c>
      <x:c r="G27" s="20" t="str">
        <x:v>Funding, revenue and stage not verified publicly</x:v>
      </x:c>
    </x:row>
    <x:row r="28" ht="56" customHeight="1">
      <x:c r="A28" s="20" t="str">
        <x:v>S20</x:v>
      </x:c>
      <x:c r="B28" s="20" t="str">
        <x:v>Luma Health</x:v>
      </x:c>
      <x:c r="C28" s="20" t="str">
        <x:v>2021-11</x:v>
      </x:c>
      <x:c r="D28" s="20" t="str">
        <x:v>$130M Series C; patient access and referral automation</x:v>
      </x:c>
      <x:c r="E28" s="20" t="str">
        <x:v>https://www.lumahealth.io/luma-health-series-c/</x:v>
      </x:c>
      <x:c r="F28" s="20" t="str">
        <x:v>Company announcement</x:v>
      </x:c>
      <x:c r="G28" s="20" t="str">
        <x:v>2021 round not evidence of 2026 investability</x:v>
      </x:c>
    </x:row>
    <x:row r="29" ht="56" customHeight="1">
      <x:c r="A29" s="20" t="str">
        <x:v>S21</x:v>
      </x:c>
      <x:c r="B29" s="20" t="str">
        <x:v>Cohere Health</x:v>
      </x:c>
      <x:c r="C29" s="20" t="str">
        <x:v>2025-05-14</x:v>
      </x:c>
      <x:c r="D29" s="20" t="str">
        <x:v>$90M Series C; total $200M; payer clinical intelligence and PA</x:v>
      </x:c>
      <x:c r="E29" s="20" t="str">
        <x:v>https://www.coherehealth.com/news/cohere-health-90m-series-c-ai-platform-expansion</x:v>
      </x:c>
      <x:c r="F29" s="20" t="str">
        <x:v>Company announcement</x:v>
      </x:c>
      <x:c r="G29" s="20" t="str">
        <x:v>Payer-first economics differ from provider pilot</x:v>
      </x:c>
    </x:row>
    <x:row r="30" ht="56" customHeight="1">
      <x:c r="A30" s="20" t="str">
        <x:v>S22</x:v>
      </x:c>
      <x:c r="B30" s="20" t="str">
        <x:v>Anterior</x:v>
      </x:c>
      <x:c r="C30" s="20" t="str">
        <x:v>2026-02-12</x:v>
      </x:c>
      <x:c r="D30" s="20" t="str">
        <x:v>$40M financing; cumulative $64M; health plan AI</x:v>
      </x:c>
      <x:c r="E30" s="20" t="str">
        <x:v>https://www.anterior.com/insights/announcements/anterior-raises-40m-series/</x:v>
      </x:c>
      <x:c r="F30" s="20" t="str">
        <x:v>Company announcement</x:v>
      </x:c>
      <x:c r="G30" s="20" t="str">
        <x:v>Payer-first; not directly a provider intake pilot</x:v>
      </x:c>
    </x:row>
    <x:row r="31" ht="56" customHeight="1">
      <x:c r="A31" s="20" t="str">
        <x:v>S23</x:v>
      </x:c>
      <x:c r="B31" s="20" t="str">
        <x:v>Infinitus Systems</x:v>
      </x:c>
      <x:c r="C31" s="20" t="str">
        <x:v>2024-10-23</x:v>
      </x:c>
      <x:c r="D31" s="20" t="str">
        <x:v>$51.5M Series C; phone-based healthcare workflow AI</x:v>
      </x:c>
      <x:c r="E31" s="20" t="str">
        <x:v>https://www.prnewswire.com/news-releases/infinitus-systems-raises-51-5-million-series-c-funding-on-the-strength-of-ai-guardrails-302283847.html</x:v>
      </x:c>
      <x:c r="F31" s="20" t="str">
        <x:v>Company announcement</x:v>
      </x:c>
      <x:c r="G31" s="20" t="str">
        <x:v>Adjacent channel automation, not end-to-end referral specialist</x:v>
      </x:c>
    </x:row>
    <x:row r="32" ht="56" customHeight="1">
      <x:c r="A32" s="20" t="str">
        <x:v>S24</x:v>
      </x:c>
      <x:c r="B32" s="20" t="str">
        <x:v>Notable</x:v>
      </x:c>
      <x:c r="C32" s="20" t="str">
        <x:v>2021-11-03</x:v>
      </x:c>
      <x:c r="D32" s="20" t="str">
        <x:v>$100M Series B; existing historical Intermountain patient-access relationship</x:v>
      </x:c>
      <x:c r="E32" s="20" t="str">
        <x:v>https://www.notablehealth.com/blog/notable-raises-series-b-to-expand-intelligent-automation-in-healthcare</x:v>
      </x:c>
      <x:c r="F32" s="20" t="str">
        <x:v>Company announcement</x:v>
      </x:c>
      <x:c r="G32" s="20" t="str">
        <x:v>Existing historical Intermountain customer mention is critical, 2026 current scope unknown</x:v>
      </x:c>
    </x:row>
    <x:row r="33" ht="56" customHeight="1">
      <x:c r="A33" s="20" t="str">
        <x:v>S25</x:v>
      </x:c>
      <x:c r="B33" s="20" t="str">
        <x:v>Notable</x:v>
      </x:c>
      <x:c r="C33" s="20" t="str">
        <x:v>2025-05-22</x:v>
      </x:c>
      <x:c r="D33" s="20" t="str">
        <x:v>Prior auth automation workflow with provider examples</x:v>
      </x:c>
      <x:c r="E33" s="20" t="str">
        <x:v>https://www.notablehealth.com/blog/getting-started-with-prior-authorization-automation</x:v>
      </x:c>
      <x:c r="F33" s="20" t="str">
        <x:v>Vendor case discussion</x:v>
      </x:c>
      <x:c r="G33" s="20" t="str">
        <x:v>Vendor estimates and case numbers need independent checking</x:v>
      </x:c>
    </x:row>
    <x:row r="34" ht="56" customHeight="1">
      <x:c r="A34" s="20" t="str">
        <x:v>S26</x:v>
      </x:c>
      <x:c r="B34" s="20" t="str">
        <x:v>Assort Health</x:v>
      </x:c>
      <x:c r="C34" s="20" t="str">
        <x:v>2026-06-24</x:v>
      </x:c>
      <x:c r="D34" s="20" t="str">
        <x:v>Reported $120M Series C at $1.2B valuation</x:v>
      </x:c>
      <x:c r="E34" s="20" t="str">
        <x:v>https://www.assorthealth.com/press</x:v>
      </x:c>
      <x:c r="F34" s="20" t="str">
        <x:v>Company announcement</x:v>
      </x:c>
      <x:c r="G34" s="20" t="str">
        <x:v>Company values/revenue self-reported, dated snapshot</x:v>
      </x:c>
    </x:row>
    <x:row r="35" ht="56" customHeight="1">
      <x:c r="A35" s="20" t="str">
        <x:v>S27</x:v>
      </x:c>
      <x:c r="B35" s="20" t="str">
        <x:v>Assort Health</x:v>
      </x:c>
      <x:c r="C35" s="20" t="str">
        <x:v>2026-08-12</x:v>
      </x:c>
      <x:c r="D35" s="20" t="str">
        <x:v>New referral agent for specialty practices and health systems</x:v>
      </x:c>
      <x:c r="E35" s="20" t="str">
        <x:v>https://www.assorthealth.com/press/assort-health-unveils-referrals-the-first-ai-agent-that-handles-processing-triage-and-continuous-patient-conversations-for-every-referral</x:v>
      </x:c>
      <x:c r="F35" s="20" t="str">
        <x:v>Company announcement</x:v>
      </x:c>
      <x:c r="G35" s="20" t="str">
        <x:v>Recent product announcement; maturity to verify</x:v>
      </x:c>
    </x:row>
    <x:row r="36" ht="56" customHeight="1">
      <x:c r="A36" s="20" t="str">
        <x:v>S28</x:v>
      </x:c>
      <x:c r="B36" s="20" t="str">
        <x:v>CAQH summarized by American Hospital Association</x:v>
      </x:c>
      <x:c r="C36" s="20" t="str">
        <x:v>2025-10</x:v>
      </x:c>
      <x:c r="D36" s="20" t="str">
        <x:v>2024 CAQH cost/time benchmark prior authorization: manual 24 minutes, electronic 10 minutes</x:v>
      </x:c>
      <x:c r="E36" s="20" t="str">
        <x:v>https://www.aha.org/system/files/media/file/2025/10/Trailblazers_Ailevate_ClaimsDenials.pdf</x:v>
      </x:c>
      <x:c r="F36" s="20" t="str">
        <x:v>Industry case / PDF</x:v>
      </x:c>
      <x:c r="G36" s="20" t="str">
        <x:v>Directional transaction benchmark only, not realized AI product performance</x:v>
      </x:c>
    </x:row>
    <x:row r="37" ht="56" customHeight="1">
      <x:c r="A37" s="20" t="str">
        <x:v>S29</x:v>
      </x:c>
      <x:c r="B37" s="20" t="str">
        <x:v>Intermountain Health</x:v>
      </x:c>
      <x:c r="C37" s="20" t="str">
        <x:v>2025 annual report / accessed 2026-10-10</x:v>
      </x:c>
      <x:c r="D37" s="20" t="str">
        <x:v>Intermountain reported use of AI to reduce caregiver time</x:v>
      </x:c>
      <x:c r="E37" s="20" t="str">
        <x:v>https://intermountainhealthcare.org/about/annual-report</x:v>
      </x:c>
      <x:c r="F37" s="20" t="str">
        <x:v>Primary</x:v>
      </x:c>
      <x:c r="G37" s="20" t="str">
        <x:v>Organization-wide description without pilot-level metrics</x:v>
      </x:c>
    </x:row>
    <x:row r="38" ht="56" customHeight="1">
      <x:c r="A38" s="20" t="str">
        <x:v>S30</x:v>
      </x:c>
      <x:c r="B38" s="20" t="str">
        <x:v>Silna Health</x:v>
      </x:c>
      <x:c r="C38" s="20" t="str">
        <x:v>Undated / accessed 2026-10-10</x:v>
      </x:c>
      <x:c r="D38" s="20" t="str">
        <x:v>Prior auth submission, follow-up, renewals and payer requirements</x:v>
      </x:c>
      <x:c r="E38" s="20" t="str">
        <x:v>https://www.silnahealth.com/prior-authorization/</x:v>
      </x:c>
      <x:c r="F38" s="20" t="str">
        <x:v>Company website</x:v>
      </x:c>
      <x:c r="G38" s="20" t="str">
        <x:v>Website capabilities self-described</x:v>
      </x:c>
    </x:row>
    <x:row r="39" ht="56" customHeight="1">
      <x:c r="A39" s="20" t="str">
        <x:v>S31</x:v>
      </x:c>
      <x:c r="B39" s="20" t="str">
        <x:v>Intermountain Health</x:v>
      </x:c>
      <x:c r="C39" s="20" t="str">
        <x:v>2020-10-06</x:v>
      </x:c>
      <x:c r="D39" s="20" t="str">
        <x:v>Intermountain announced strategic partnership with Notable for automated patient registration, insurance eligibility and intake, with reported reduction in check-in time</x:v>
      </x:c>
      <x:c r="E39" s="20" t="str">
        <x:v>https://news.intermountainhealth.org/intermountain-healthcare-partners-with-notable-health-to-expand-the-my-health-digital-platform-for-patients/</x:v>
      </x:c>
      <x:c r="F39" s="20" t="str">
        <x:v>Primary, health-system press release</x:v>
      </x:c>
      <x:c r="G39" s="20" t="str">
        <x:v>2020 historical deployment and company-supplied outcomes; does not confirm active 2026 deployment or PA/referral scope</x:v>
      </x:c>
    </x:row>
    <x:row r="40" ht="56" customHeight="1">
      <x:c r="A40" s="20" t="str">
        <x:v>S32</x:v>
      </x:c>
      <x:c r="B40" s="20" t="str">
        <x:v>Rock Health via Healthcare Dive</x:v>
      </x:c>
      <x:c r="C40" s="20" t="str">
        <x:v>2026-07-16</x:v>
      </x:c>
      <x:c r="D40" s="20" t="str">
        <x:v>H1 2026 US digital health raised $7.4B across 244 deals; financing concentrated in megadeals</x:v>
      </x:c>
      <x:c r="E40" s="20" t="str">
        <x:v>https://www.healthcaredive.com/news/digital-health-funding-first-half-2026-rock-health/825215/</x:v>
      </x:c>
      <x:c r="F40" s="20" t="str">
        <x:v>Industry research</x:v>
      </x:c>
      <x:c r="G40" s="20" t="str">
        <x:v>Not equivalent to the referral automation market size</x:v>
      </x:c>
    </x:row>
    <x:row r="41" ht="56" customHeight="1">
      <x:c r="A41" s="20" t="str">
        <x:v>S33</x:v>
      </x:c>
      <x:c r="B41" s="20" t="str">
        <x:v>Notable</x:v>
      </x:c>
      <x:c r="C41" s="20" t="str">
        <x:v>2025-06-09</x:v>
      </x:c>
      <x:c r="D41" s="20" t="str">
        <x:v>Vendor-reported Intermountain digital intake outcomes</x:v>
      </x:c>
      <x:c r="E41" s="20" t="str">
        <x:v>https://www.notablehealth.com/blog/how-automation-improves-patient-outcomes-at-scale</x:v>
      </x:c>
      <x:c r="F41" s="20" t="str">
        <x:v>Vendor case study</x:v>
      </x:c>
      <x:c r="G41" s="20" t="str">
        <x:v>Not independent; does not establish current vendor contract scope</x:v>
      </x:c>
    </x:row>
    <x:row r="42" ht="56" customHeight="1">
      <x:c r="A42" s="20" t="str">
        <x:v>S34</x:v>
      </x:c>
      <x:c r="B42" s="20" t="str">
        <x:v>Notable</x:v>
      </x:c>
      <x:c r="C42" s="20" t="str">
        <x:v>Undated, accessed 2026-10-10</x:v>
      </x:c>
      <x:c r="D42" s="20" t="str">
        <x:v>Intermountain pediatric pre-visit forms case study; 12,500 forms over 3 months</x:v>
      </x:c>
      <x:c r="E42" s="20" t="str">
        <x:v>https://www.notablehealth.com/customer-stories/intermountain-healthcare-drives-77-digital-completion-rate-of-well-child-forms-through-automation</x:v>
      </x:c>
      <x:c r="F42" s="20" t="str">
        <x:v>Vendor case study</x:v>
      </x:c>
      <x:c r="G42" s="20" t="str">
        <x:v>Historical/vendor reported; do not extrapolate to PA/referrals</x:v>
      </x:c>
    </x:row>
    <x:row r="43" ht="56" customHeight="1">
      <x:c r="A43" s="20" t="str">
        <x:v>S35</x:v>
      </x:c>
      <x:c r="B43" s="20" t="str">
        <x:v>CMS</x:v>
      </x:c>
      <x:c r="C43" s="20" t="str">
        <x:v>2026-05-13</x:v>
      </x:c>
      <x:c r="D43" s="20" t="str">
        <x:v>Electronic prior authorization acceleration initiative and early adopters</x:v>
      </x:c>
      <x:c r="E43" s="20" t="str">
        <x:v>https://www.cms.gov/newsroom/press-releases/cms-announces-early-adopters-advance-solutions-electronic-prior-authorization-accelerating-momentum</x:v>
      </x:c>
      <x:c r="F43" s="20" t="str">
        <x:v>Regulator</x:v>
      </x:c>
      <x:c r="G43" s="20" t="str">
        <x:v>Participation is not verified for subject startups</x:v>
      </x:c>
    </x:row>
    <x:row r="44" ht="56" customHeight="1">
      <x:c r="A44" s="20" t="str">
        <x:v>S36</x:v>
      </x:c>
      <x:c r="B44" s="20" t="str">
        <x:v>Notable</x:v>
      </x:c>
      <x:c r="C44" s="20" t="str">
        <x:v>2026-01-07</x:v>
      </x:c>
      <x:c r="D44" s="20" t="str">
        <x:v>Inova partnership specifically involves revenue cycle referral management and patient access</x:v>
      </x:c>
      <x:c r="E44" s="20" t="str">
        <x:v>https://www.notablehealth.com/blog/inova-health-partners-with-notable-to-support-system-wide-ai-and-digital-transformation-strategy</x:v>
      </x:c>
      <x:c r="F44" s="20" t="str">
        <x:v>Vendor announcement</x:v>
      </x:c>
      <x:c r="G44" s="20" t="str">
        <x:v>Vendor targets are not independently proven achieved results</x:v>
      </x:c>
    </x:row>
  </x:sheetData>
  <x:mergeCells>
    <x:mergeCell ref="A1:G1"/>
    <x:mergeCell ref="A3:G3"/>
  </x:mergeCells>
  <x:pageMargins left="0.7" right="0.7" top="0.75" bottom="0.75" header="0.3" footer="0.3"/>
</x:worksheet>
</file>

<file path=xl/worksheets/sheet14.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30" hidden="0" customWidth="1"/>
    <x:col min="2" max="2" width="84" hidden="0" customWidth="1"/>
    <x:col min="3" max="3" width="18" hidden="0" customWidth="1"/>
    <x:col min="4" max="4" width="23" hidden="0" customWidth="1"/>
    <x:col min="5" max="5" width="92" hidden="0" customWidth="1"/>
  </x:cols>
  <x:sheetData>
    <x:row r="1" ht="42" customHeight="1">
      <x:c r="A1" s="4" t="str">
        <x:v>MODEL DEFINITIONS AND REVIEW PROTOCOL</x:v>
      </x:c>
      <x:c r="B1" s="4"/>
      <x:c r="C1" s="4"/>
      <x:c r="D1" s="4"/>
      <x:c r="E1" s="4"/>
      <x:c r="F1" s="4"/>
      <x:c r="G1" s="4"/>
    </x:row>
    <x:row r="3" ht="37" customHeight="1">
      <x:c r="A3" s="11" t="str">
        <x:v>Units, definitions, and known omissions are part of the deliverable. The JSON model_contract.json defines parity with the Phase 3 app.</x:v>
      </x:c>
      <x:c r="B3" s="11"/>
      <x:c r="C3" s="11"/>
      <x:c r="D3" s="11"/>
      <x:c r="E3" s="11"/>
      <x:c r="F3" s="11"/>
      <x:c r="G3" s="11"/>
    </x:row>
    <x:row r="8" ht="30" customHeight="1">
      <x:c r="A8" s="27" t="str">
        <x:v>Term</x:v>
      </x:c>
      <x:c r="B8" s="27" t="str">
        <x:v>Definition / formula</x:v>
      </x:c>
      <x:c r="C8" s="27" t="str">
        <x:v>Units</x:v>
      </x:c>
      <x:c r="D8" s="27" t="str">
        <x:v>Nature</x:v>
      </x:c>
      <x:c r="E8" s="27" t="str">
        <x:v>Caveat</x:v>
      </x:c>
    </x:row>
    <x:row r="9" ht="54" customHeight="1">
      <x:c r="A9" s="20" t="str">
        <x:v>Eligible</x:v>
      </x:c>
      <x:c r="B9" s="20" t="str">
        <x:v>Requests suitable for analysis after scope exclusions</x:v>
      </x:c>
      <x:c r="C9" s="20" t="str">
        <x:v>Cases</x:v>
      </x:c>
      <x:c r="D9" s="20" t="str">
        <x:v>Illustrative</x:v>
      </x:c>
      <x:c r="E9" s="20" t="str">
        <x:v>Needs denominator verified by specialty and payer</x:v>
      </x:c>
    </x:row>
    <x:row r="10" ht="54" customHeight="1">
      <x:c r="A10" s="20" t="str">
        <x:v>Completed automated</x:v>
      </x:c>
      <x:c r="B10" s="20" t="str">
        <x:v>Eligible requests x mature completion x ramp</x:v>
      </x:c>
      <x:c r="C10" s="20" t="str">
        <x:v>Cases</x:v>
      </x:c>
      <x:c r="D10" s="20" t="str">
        <x:v>Illustrative</x:v>
      </x:c>
      <x:c r="E10" s="20" t="str">
        <x:v>Count only independently successful completion, not mere AI touch</x:v>
      </x:c>
    </x:row>
    <x:row r="11" ht="54" customHeight="1">
      <x:c r="A11" s="20" t="str">
        <x:v>Minutes saved</x:v>
      </x:c>
      <x:c r="B11" s="20" t="str">
        <x:v>Baseline net manual time less residual review / rework</x:v>
      </x:c>
      <x:c r="C11" s="20" t="str">
        <x:v>Minutes</x:v>
      </x:c>
      <x:c r="D11" s="20" t="str">
        <x:v>Illustrative</x:v>
      </x:c>
      <x:c r="E11" s="20" t="str">
        <x:v>Measured via matched samples</x:v>
      </x:c>
    </x:row>
    <x:row r="12" ht="54" customHeight="1">
      <x:c r="A12" s="20" t="str">
        <x:v>Capacity value</x:v>
      </x:c>
      <x:c r="B12" s="20" t="str">
        <x:v>Automated cases x net minutes / 60 x loaded labor rate</x:v>
      </x:c>
      <x:c r="C12" s="20" t="str">
        <x:v>USD</x:v>
      </x:c>
      <x:c r="D12" s="20" t="str">
        <x:v>Not automatically cash</x:v>
      </x:c>
      <x:c r="E12" s="20" t="str">
        <x:v>Opportunity cost only absent converted expense reduction</x:v>
      </x:c>
    </x:row>
    <x:row r="13" ht="54" customHeight="1">
      <x:c r="A13" s="20" t="str">
        <x:v>Cash realization</x:v>
      </x:c>
      <x:c r="B13" s="20" t="str">
        <x:v>Independent overtime, contractor, avoided hiring / funded redeployment backed by records</x:v>
      </x:c>
      <x:c r="C13" s="20" t="str">
        <x:v>Share</x:v>
      </x:c>
      <x:c r="D13" s="20" t="str">
        <x:v>Illustrative</x:v>
      </x:c>
      <x:c r="E13" s="20" t="str">
        <x:v>Must avoid claiming cash from redeployment alone</x:v>
      </x:c>
    </x:row>
    <x:row r="14" ht="54" customHeight="1">
      <x:c r="A14" s="20" t="str">
        <x:v>Steady-state scale</x:v>
      </x:c>
      <x:c r="B14" s="20" t="str">
        <x:v>Annualized recurring benefits and costs at fully achieved completion rate</x:v>
      </x:c>
      <x:c r="C14" s="20" t="str">
        <x:v>USD/year</x:v>
      </x:c>
      <x:c r="D14" s="20" t="str">
        <x:v>Illustrative</x:v>
      </x:c>
      <x:c r="E14" s="20" t="str">
        <x:v>Excludes implementation first-year and pilot</x:v>
      </x:c>
    </x:row>
    <x:row r="15" ht="54" customHeight="1">
      <x:c r="A15" s="20" t="str">
        <x:v>First scaled year</x:v>
      </x:c>
      <x:c r="B15" s="20" t="str">
        <x:v>Steady annual cash benefit x ramp minus full recurring cost minus rollout setup</x:v>
      </x:c>
      <x:c r="C15" s="20" t="str">
        <x:v>USD</x:v>
      </x:c>
      <x:c r="D15" s="20" t="str">
        <x:v>Illustrative</x:v>
      </x:c>
      <x:c r="E15" s="20" t="str">
        <x:v>Follows pilot; do not double count setup</x:v>
      </x:c>
    </x:row>
    <x:row r="16" ht="54" customHeight="1">
      <x:c r="A16" s="20" t="str">
        <x:v>Pilot net cash</x:v>
      </x:c>
      <x:c r="B16" s="20" t="str">
        <x:v>Pilot realized cash minus 3 months cost and pilot setup</x:v>
      </x:c>
      <x:c r="C16" s="20" t="str">
        <x:v>USD</x:v>
      </x:c>
      <x:c r="D16" s="20" t="str">
        <x:v>Illustrative</x:v>
      </x:c>
      <x:c r="E16" s="20" t="str">
        <x:v>No intangible value assigned to learning</x:v>
      </x:c>
    </x:row>
    <x:row r="17" ht="54" customHeight="1">
      <x:c r="A17" s="20" t="str">
        <x:v>Realization breakeven</x:v>
      </x:c>
      <x:c r="B17" s="20" t="str">
        <x:v>Recurring cost / gross capacity value</x:v>
      </x:c>
      <x:c r="C17" s="20" t="str">
        <x:v>Share</x:v>
      </x:c>
      <x:c r="D17" s="20" t="str">
        <x:v>Derived</x:v>
      </x:c>
      <x:c r="E17" s="20" t="str">
        <x:v>Above 100% means uneconomic on labor savings alone</x:v>
      </x:c>
    </x:row>
    <x:row r="18" ht="54" customHeight="1">
      <x:c r="A18" s="20" t="str">
        <x:v>Pre-money</x:v>
      </x:c>
      <x:c r="B18" s="20" t="str">
        <x:v>Enterprise equity value before new primary investment</x:v>
      </x:c>
      <x:c r="C18" s="20" t="str">
        <x:v>USD mm</x:v>
      </x:c>
      <x:c r="D18" s="20" t="str">
        <x:v>Hypothetical</x:v>
      </x:c>
      <x:c r="E18" s="20" t="str">
        <x:v>Private live Silna terms not verified</x:v>
      </x:c>
    </x:row>
    <x:row r="19" ht="54" customHeight="1">
      <x:c r="A19" s="20" t="str">
        <x:v>Post-money</x:v>
      </x:c>
      <x:c r="B19" s="20" t="str">
        <x:v>Pre-money + new primary cash financing</x:v>
      </x:c>
      <x:c r="C19" s="20" t="str">
        <x:v>USD mm</x:v>
      </x:c>
      <x:c r="D19" s="20" t="str">
        <x:v>Hypothetical</x:v>
      </x:c>
      <x:c r="E19" s="20" t="str">
        <x:v>Assumes simple primary round, no secondary mix</x:v>
      </x:c>
    </x:row>
    <x:row r="20" ht="54" customHeight="1">
      <x:c r="A20" s="20" t="str">
        <x:v>Initial ownership</x:v>
      </x:c>
      <x:c r="B20" s="20" t="str">
        <x:v>Investor check / post-money equity value</x:v>
      </x:c>
      <x:c r="C20" s="20" t="str">
        <x:v>Share</x:v>
      </x:c>
      <x:c r="D20" s="20" t="str">
        <x:v>Hypothetical</x:v>
      </x:c>
      <x:c r="E20" s="20" t="str">
        <x:v>Must adjust if pre-existing options or convertible notes</x:v>
      </x:c>
    </x:row>
    <x:row r="21" ht="54" customHeight="1">
      <x:c r="A21" s="20" t="str">
        <x:v>Diluted ownership</x:v>
      </x:c>
      <x:c r="B21" s="20" t="str">
        <x:v>Initial ownership x (1 - cumulative dilution)</x:v>
      </x:c>
      <x:c r="C21" s="20" t="str">
        <x:v>Share</x:v>
      </x:c>
      <x:c r="D21" s="20" t="str">
        <x:v>Hypothetical</x:v>
      </x:c>
      <x:c r="E21" s="20" t="str">
        <x:v>Simplified; no preferences or participation rights</x:v>
      </x:c>
    </x:row>
    <x:row r="22" ht="54" customHeight="1">
      <x:c r="A22" s="20" t="str">
        <x:v>Exit valuation</x:v>
      </x:c>
      <x:c r="B22" s="20" t="str">
        <x:v>Future ARR x exit EV/ARR multiple</x:v>
      </x:c>
      <x:c r="C22" s="20" t="str">
        <x:v>USD mm</x:v>
      </x:c>
      <x:c r="D22" s="20" t="str">
        <x:v>Hypothetical</x:v>
      </x:c>
      <x:c r="E22" s="20" t="str">
        <x:v>Not derived from a verified 2026 comparable median</x:v>
      </x:c>
    </x:row>
    <x:row r="23" ht="54" customHeight="1">
      <x:c r="A23" s="20" t="str">
        <x:v>Exit investor proceeds</x:v>
      </x:c>
      <x:c r="B23" s="20" t="str">
        <x:v>Exit EV x equity factor x diluted investor ownership</x:v>
      </x:c>
      <x:c r="C23" s="20" t="str">
        <x:v>USD mm</x:v>
      </x:c>
      <x:c r="D23" s="20" t="str">
        <x:v>Hypothetical</x:v>
      </x:c>
      <x:c r="E23" s="20" t="str">
        <x:v>Ignores pref waterfall and taxes</x:v>
      </x:c>
    </x:row>
    <x:row r="24" ht="54" customHeight="1">
      <x:c r="A24" s="20" t="str">
        <x:v>Gross MOIC</x:v>
      </x:c>
      <x:c r="B24" s="20" t="str">
        <x:v>Exit proceeds / original check</x:v>
      </x:c>
      <x:c r="C24" s="20" t="str">
        <x:v>x</x:v>
      </x:c>
      <x:c r="D24" s="20" t="str">
        <x:v>Derived</x:v>
      </x:c>
      <x:c r="E24" s="20" t="str">
        <x:v>No transaction fees or follow-on equity injections</x:v>
      </x:c>
    </x:row>
    <x:row r="25" ht="54" customHeight="1">
      <x:c r="A25" s="20" t="str">
        <x:v>Gross IRR</x:v>
      </x:c>
      <x:c r="B25" s="20" t="str">
        <x:v>MOIC^(1/years) - 1</x:v>
      </x:c>
      <x:c r="C25" s="20" t="str">
        <x:v>Share/year</x:v>
      </x:c>
      <x:c r="D25" s="20" t="str">
        <x:v>Derived</x:v>
      </x:c>
      <x:c r="E25" s="20" t="str">
        <x:v>Single entry and exit cash flow only</x:v>
      </x:c>
    </x:row>
    <x:row r="26" ht="54" customHeight="1">
      <x:c r="A26" s="20" t="str">
        <x:v>Source status</x:v>
      </x:c>
      <x:c r="B26" s="20" t="str">
        <x:v>Fact, vendor statement, interpretation, scenario assumption</x:v>
      </x:c>
      <x:c r="C26" s="20" t="str">
        <x:v>Category</x:v>
      </x:c>
      <x:c r="D26" s="20" t="str">
        <x:v>Mixed</x:v>
      </x:c>
      <x:c r="E26" s="20" t="str">
        <x:v>Do not upgrade a claim merely because it has a URL</x:v>
      </x:c>
    </x:row>
    <x:row r="27" ht="54" customHeight="1">
      <x:c r="A27" s="20" t="str">
        <x:v>Missing market TAM</x:v>
      </x:c>
      <x:c r="B27" s="20" t="str">
        <x:v>Buyer counts, price and share not independently supportable</x:v>
      </x:c>
      <x:c r="C27" s="20" t="str">
        <x:v>USD/year</x:v>
      </x:c>
      <x:c r="D27" s="20" t="str">
        <x:v>Unknown</x:v>
      </x:c>
      <x:c r="E27" s="20" t="str">
        <x:v>Blank until real buyer-level data sourced</x:v>
      </x:c>
    </x:row>
  </x:sheetData>
  <x:mergeCells>
    <x:mergeCell ref="A1:G1"/>
    <x:mergeCell ref="A3:G3"/>
  </x:mergeCells>
  <x:pageMargins left="0.7" right="0.7" top="0.75" bottom="0.75" header="0.3" footer="0.3"/>
</x:worksheet>
</file>